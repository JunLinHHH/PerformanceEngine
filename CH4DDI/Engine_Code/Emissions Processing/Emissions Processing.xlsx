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5293951_ad_unsw_edu_au/Documents/Desktop/Engine_Code/Emissions Processing/"/>
    </mc:Choice>
  </mc:AlternateContent>
  <xr:revisionPtr revIDLastSave="188" documentId="8_{43F8FEB0-A144-463D-AB65-500F28822373}" xr6:coauthVersionLast="47" xr6:coauthVersionMax="47" xr10:uidLastSave="{A451BE84-A870-4D8F-9C36-01E0BEC2075E}"/>
  <bookViews>
    <workbookView minimized="1" xWindow="4185" yWindow="1125" windowWidth="21600" windowHeight="14130" activeTab="2" xr2:uid="{A408EAE9-808A-44CF-B10D-BCB6636632BD}"/>
  </bookViews>
  <sheets>
    <sheet name="OA 10-70%" sheetId="1" r:id="rId1"/>
    <sheet name="OA&amp;OB 50-70%" sheetId="2" r:id="rId2"/>
    <sheet name="OB 10-70%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" l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3" i="3"/>
  <c r="X9" i="2"/>
  <c r="V9" i="2"/>
  <c r="X8" i="2"/>
  <c r="V8" i="2"/>
  <c r="X7" i="2"/>
  <c r="V7" i="2"/>
  <c r="X6" i="2"/>
  <c r="V6" i="2"/>
  <c r="X9" i="1"/>
  <c r="V9" i="1"/>
  <c r="X8" i="1"/>
  <c r="V8" i="1"/>
  <c r="X7" i="1"/>
  <c r="V7" i="1"/>
  <c r="X6" i="1"/>
  <c r="V6" i="1"/>
</calcChain>
</file>

<file path=xl/sharedStrings.xml><?xml version="1.0" encoding="utf-8"?>
<sst xmlns="http://schemas.openxmlformats.org/spreadsheetml/2006/main" count="90" uniqueCount="26">
  <si>
    <t>Torque</t>
  </si>
  <si>
    <t>fuel mass（mg）</t>
  </si>
  <si>
    <t>InjP</t>
  </si>
  <si>
    <t>nan</t>
  </si>
  <si>
    <t>IMEP(Kpa)</t>
  </si>
  <si>
    <t>NOX(ppm)</t>
  </si>
  <si>
    <t>NO(PPM)</t>
  </si>
  <si>
    <t>CO(%)</t>
  </si>
  <si>
    <t>HC(PPM)</t>
  </si>
  <si>
    <t>CO2(VOL)</t>
  </si>
  <si>
    <t>Opacity</t>
  </si>
  <si>
    <t>Combustion efficiency</t>
  </si>
  <si>
    <t>Diesel</t>
  </si>
  <si>
    <t>M50 OA</t>
  </si>
  <si>
    <t>fuel mass calculation</t>
  </si>
  <si>
    <t>energy</t>
  </si>
  <si>
    <t>diesel</t>
  </si>
  <si>
    <t>fraction</t>
  </si>
  <si>
    <t>methnaol</t>
  </si>
  <si>
    <t>M70 OA</t>
  </si>
  <si>
    <t>M50 OB</t>
  </si>
  <si>
    <t>M70 OB</t>
  </si>
  <si>
    <t>M30 OA</t>
  </si>
  <si>
    <t>M10 OA</t>
  </si>
  <si>
    <t>2.8/2.9</t>
  </si>
  <si>
    <t>2.8/3.1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</si>
</sst>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6992-97E4-4FFB-BC32-52B78828015D}">
  <dimension ref="A1:Y56"/>
  <sheetViews>
    <sheetView workbookViewId="0">
      <selection activeCell="R31" sqref="R31:R55"/>
    </sheetView>
  </sheetViews>
  <sheetFormatPr defaultRowHeight="15" x14ac:dyDescent="0.25"/>
  <cols>
    <col min="1" max="16384" width="9.140625" style="6"/>
  </cols>
  <sheetData>
    <row r="1" spans="1:2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/>
    </row>
    <row r="2" spans="1:25" x14ac:dyDescent="0.25">
      <c r="A2" s="1" t="s">
        <v>12</v>
      </c>
      <c r="B2" s="1">
        <v>0</v>
      </c>
      <c r="C2" s="1">
        <v>46.082900000000002</v>
      </c>
      <c r="D2" s="1">
        <v>1000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2">
        <v>771.9</v>
      </c>
      <c r="K2" s="1">
        <v>764</v>
      </c>
      <c r="L2" s="1">
        <v>0</v>
      </c>
      <c r="M2" s="1">
        <v>0</v>
      </c>
      <c r="N2" s="1">
        <v>22</v>
      </c>
      <c r="O2" s="1">
        <v>8.9</v>
      </c>
      <c r="P2" s="1">
        <v>4.4000000000000004</v>
      </c>
      <c r="Q2" s="1">
        <v>0</v>
      </c>
      <c r="R2" s="1" t="s">
        <v>12</v>
      </c>
    </row>
    <row r="3" spans="1:25" x14ac:dyDescent="0.25">
      <c r="B3" s="1">
        <v>0</v>
      </c>
      <c r="C3" s="1">
        <v>46.082900000000002</v>
      </c>
      <c r="D3" s="1">
        <v>1000</v>
      </c>
      <c r="E3" s="1">
        <v>0</v>
      </c>
      <c r="F3" s="1">
        <v>0</v>
      </c>
      <c r="G3" s="1">
        <v>0</v>
      </c>
      <c r="H3" s="1">
        <v>0</v>
      </c>
      <c r="I3" s="7">
        <v>32.82</v>
      </c>
      <c r="J3" s="2">
        <v>719.1</v>
      </c>
      <c r="K3" s="1">
        <v>640.6</v>
      </c>
      <c r="L3" s="1">
        <v>0</v>
      </c>
      <c r="M3" s="1">
        <v>0.04</v>
      </c>
      <c r="N3" s="1">
        <v>554</v>
      </c>
      <c r="O3" s="1">
        <v>8.3000000000000007</v>
      </c>
      <c r="P3" s="3">
        <v>3.5</v>
      </c>
      <c r="Q3" s="1">
        <v>0</v>
      </c>
      <c r="R3" s="11" t="s">
        <v>23</v>
      </c>
      <c r="V3" s="6" t="s">
        <v>14</v>
      </c>
    </row>
    <row r="4" spans="1:25" x14ac:dyDescent="0.25">
      <c r="B4" s="1">
        <v>0</v>
      </c>
      <c r="C4" s="1">
        <v>46.082900000000002</v>
      </c>
      <c r="D4" s="1">
        <v>1000</v>
      </c>
      <c r="E4" s="1">
        <v>0</v>
      </c>
      <c r="F4" s="1">
        <v>0</v>
      </c>
      <c r="G4" s="1">
        <v>0</v>
      </c>
      <c r="H4" s="1">
        <v>0</v>
      </c>
      <c r="I4" s="7">
        <v>33.369999999999997</v>
      </c>
      <c r="J4" s="2">
        <v>721.19999999999993</v>
      </c>
      <c r="K4" s="1">
        <v>647.20000000000005</v>
      </c>
      <c r="L4" s="1">
        <v>0</v>
      </c>
      <c r="M4" s="1">
        <v>0.04</v>
      </c>
      <c r="N4" s="1">
        <v>625</v>
      </c>
      <c r="O4" s="1">
        <v>8.3000000000000007</v>
      </c>
      <c r="P4" s="3">
        <v>3.7</v>
      </c>
      <c r="Q4" s="1">
        <v>0</v>
      </c>
      <c r="R4" s="11"/>
      <c r="U4" s="6" t="s">
        <v>15</v>
      </c>
      <c r="V4" s="6" t="s">
        <v>16</v>
      </c>
      <c r="W4" s="6" t="s">
        <v>17</v>
      </c>
      <c r="X4" s="6" t="s">
        <v>18</v>
      </c>
      <c r="Y4" s="6" t="s">
        <v>17</v>
      </c>
    </row>
    <row r="5" spans="1:25" x14ac:dyDescent="0.25">
      <c r="B5" s="1">
        <v>0</v>
      </c>
      <c r="C5" s="1">
        <v>46.082900000000002</v>
      </c>
      <c r="D5" s="1">
        <v>1000</v>
      </c>
      <c r="E5" s="1">
        <v>0</v>
      </c>
      <c r="F5" s="1">
        <v>0</v>
      </c>
      <c r="G5" s="1">
        <v>0</v>
      </c>
      <c r="H5" s="1">
        <v>0</v>
      </c>
      <c r="I5" s="7">
        <v>33.53</v>
      </c>
      <c r="J5" s="2">
        <v>731.8</v>
      </c>
      <c r="K5" s="1">
        <v>673.7</v>
      </c>
      <c r="L5" s="1">
        <v>0</v>
      </c>
      <c r="M5" s="1">
        <v>0.03</v>
      </c>
      <c r="N5" s="1">
        <v>753</v>
      </c>
      <c r="O5" s="1">
        <v>8.16</v>
      </c>
      <c r="P5" s="3">
        <v>3.5</v>
      </c>
      <c r="Q5" s="1">
        <v>0</v>
      </c>
      <c r="R5" s="11"/>
      <c r="U5" s="6">
        <v>2000</v>
      </c>
      <c r="V5" s="6">
        <v>46.082900000000002</v>
      </c>
      <c r="W5" s="6">
        <v>1</v>
      </c>
      <c r="X5" s="6">
        <v>101.53</v>
      </c>
      <c r="Y5" s="6">
        <v>1</v>
      </c>
    </row>
    <row r="6" spans="1:25" x14ac:dyDescent="0.25">
      <c r="B6" s="1">
        <v>0</v>
      </c>
      <c r="C6" s="1">
        <v>46.082900000000002</v>
      </c>
      <c r="D6" s="1">
        <v>1000</v>
      </c>
      <c r="E6" s="1">
        <v>0</v>
      </c>
      <c r="F6" s="1">
        <v>0</v>
      </c>
      <c r="G6" s="1">
        <v>0</v>
      </c>
      <c r="H6" s="1">
        <v>0</v>
      </c>
      <c r="I6" s="7">
        <v>35</v>
      </c>
      <c r="J6" s="2">
        <v>742.40000000000009</v>
      </c>
      <c r="K6" s="1">
        <v>719.2</v>
      </c>
      <c r="L6" s="1">
        <v>0</v>
      </c>
      <c r="M6" s="1">
        <v>0.01</v>
      </c>
      <c r="N6" s="1">
        <v>689</v>
      </c>
      <c r="O6" s="1">
        <v>8.3000000000000007</v>
      </c>
      <c r="P6" s="3">
        <v>3.1</v>
      </c>
      <c r="Q6" s="1">
        <v>0</v>
      </c>
      <c r="R6" s="11"/>
      <c r="V6" s="6">
        <f>W6*$V$5</f>
        <v>13.824870000000001</v>
      </c>
      <c r="W6" s="6">
        <v>0.3</v>
      </c>
      <c r="X6" s="6">
        <f>Y6*$X$5</f>
        <v>71.070999999999998</v>
      </c>
      <c r="Y6" s="6">
        <v>0.7</v>
      </c>
    </row>
    <row r="7" spans="1:25" x14ac:dyDescent="0.25">
      <c r="B7" s="1">
        <v>0</v>
      </c>
      <c r="C7" s="1">
        <v>46.082900000000002</v>
      </c>
      <c r="D7" s="1">
        <v>1000</v>
      </c>
      <c r="E7" s="1">
        <v>0</v>
      </c>
      <c r="F7" s="1">
        <v>0</v>
      </c>
      <c r="G7" s="1">
        <v>0</v>
      </c>
      <c r="H7" s="1">
        <v>0</v>
      </c>
      <c r="I7" s="7">
        <v>35.29</v>
      </c>
      <c r="J7" s="2">
        <v>749.2</v>
      </c>
      <c r="K7" s="1">
        <v>705.4</v>
      </c>
      <c r="L7" s="1">
        <v>0</v>
      </c>
      <c r="M7" s="1">
        <v>0.02</v>
      </c>
      <c r="N7" s="1">
        <v>538</v>
      </c>
      <c r="O7" s="1">
        <v>8.3800000000000008</v>
      </c>
      <c r="P7" s="3">
        <v>2.8</v>
      </c>
      <c r="Q7" s="1">
        <v>0</v>
      </c>
      <c r="R7" s="11"/>
      <c r="V7" s="6">
        <f t="shared" ref="V7:V9" si="0">W7*$V$5</f>
        <v>23.041450000000001</v>
      </c>
      <c r="W7" s="6">
        <v>0.5</v>
      </c>
      <c r="X7" s="6">
        <f t="shared" ref="X7:X9" si="1">Y7*$X$5</f>
        <v>50.765000000000001</v>
      </c>
      <c r="Y7" s="6">
        <v>0.5</v>
      </c>
    </row>
    <row r="8" spans="1:25" x14ac:dyDescent="0.25">
      <c r="B8" s="1">
        <v>0</v>
      </c>
      <c r="C8" s="1">
        <v>46.082900000000002</v>
      </c>
      <c r="D8" s="1">
        <v>1000</v>
      </c>
      <c r="E8" s="1">
        <v>0</v>
      </c>
      <c r="F8" s="1">
        <v>0</v>
      </c>
      <c r="G8" s="1">
        <v>0</v>
      </c>
      <c r="H8" s="1">
        <v>0</v>
      </c>
      <c r="I8" s="7">
        <v>35.19</v>
      </c>
      <c r="J8" s="2">
        <v>748.5</v>
      </c>
      <c r="K8" s="1">
        <v>677.1</v>
      </c>
      <c r="L8" s="1">
        <v>0</v>
      </c>
      <c r="M8" s="1">
        <v>0.02</v>
      </c>
      <c r="N8" s="1">
        <v>462</v>
      </c>
      <c r="O8" s="1">
        <v>8.4</v>
      </c>
      <c r="P8" s="3">
        <v>3.1</v>
      </c>
      <c r="Q8" s="1">
        <v>0</v>
      </c>
      <c r="R8" s="11"/>
      <c r="V8" s="6">
        <f t="shared" si="0"/>
        <v>32.258029999999998</v>
      </c>
      <c r="W8" s="6">
        <v>0.7</v>
      </c>
      <c r="X8" s="6">
        <f t="shared" si="1"/>
        <v>30.459</v>
      </c>
      <c r="Y8" s="6">
        <v>0.3</v>
      </c>
    </row>
    <row r="9" spans="1:25" x14ac:dyDescent="0.25">
      <c r="B9" s="1">
        <v>0</v>
      </c>
      <c r="C9" s="1">
        <v>46.082900000000002</v>
      </c>
      <c r="D9" s="1">
        <v>1000</v>
      </c>
      <c r="E9" s="1">
        <v>0</v>
      </c>
      <c r="F9" s="1">
        <v>0</v>
      </c>
      <c r="G9" s="1">
        <v>0</v>
      </c>
      <c r="H9" s="1">
        <v>0</v>
      </c>
      <c r="I9" s="7">
        <v>34.75</v>
      </c>
      <c r="J9" s="2">
        <v>743.3</v>
      </c>
      <c r="K9" s="1">
        <v>648.79999999999995</v>
      </c>
      <c r="L9" s="1">
        <v>0</v>
      </c>
      <c r="M9" s="1">
        <v>0.02</v>
      </c>
      <c r="N9" s="1">
        <v>435</v>
      </c>
      <c r="O9" s="1">
        <v>8.34</v>
      </c>
      <c r="P9" s="3">
        <v>2.9</v>
      </c>
      <c r="Q9" s="1">
        <v>0</v>
      </c>
      <c r="R9" s="11"/>
      <c r="V9" s="6">
        <f t="shared" si="0"/>
        <v>41.474610000000006</v>
      </c>
      <c r="W9" s="6">
        <v>0.9</v>
      </c>
      <c r="X9" s="6">
        <f t="shared" si="1"/>
        <v>10.153</v>
      </c>
      <c r="Y9" s="6">
        <v>0.1</v>
      </c>
    </row>
    <row r="10" spans="1:25" x14ac:dyDescent="0.25">
      <c r="B10" s="1">
        <v>0</v>
      </c>
      <c r="C10" s="1">
        <v>46.082900000000002</v>
      </c>
      <c r="D10" s="1">
        <v>1000</v>
      </c>
      <c r="E10" s="1">
        <v>0</v>
      </c>
      <c r="F10" s="1">
        <v>0</v>
      </c>
      <c r="G10" s="1">
        <v>0</v>
      </c>
      <c r="H10" s="1">
        <v>0</v>
      </c>
      <c r="I10" s="7">
        <v>32.450000000000003</v>
      </c>
      <c r="J10" s="2">
        <v>707.7</v>
      </c>
      <c r="K10" s="1">
        <v>545.9</v>
      </c>
      <c r="L10" s="1">
        <v>0</v>
      </c>
      <c r="M10" s="1">
        <v>0.03</v>
      </c>
      <c r="N10" s="1">
        <v>1122</v>
      </c>
      <c r="O10" s="1">
        <v>7.76</v>
      </c>
      <c r="P10" s="3">
        <v>2.2000000000000002</v>
      </c>
      <c r="Q10" s="1">
        <v>0</v>
      </c>
      <c r="R10" s="11" t="s">
        <v>22</v>
      </c>
    </row>
    <row r="11" spans="1:25" x14ac:dyDescent="0.25">
      <c r="B11" s="1">
        <v>0</v>
      </c>
      <c r="C11" s="1">
        <v>46.082900000000002</v>
      </c>
      <c r="D11" s="1">
        <v>1000</v>
      </c>
      <c r="E11" s="1">
        <v>0</v>
      </c>
      <c r="F11" s="1">
        <v>0</v>
      </c>
      <c r="G11" s="1">
        <v>0</v>
      </c>
      <c r="H11" s="1">
        <v>0</v>
      </c>
      <c r="I11" s="8">
        <v>33.75</v>
      </c>
      <c r="J11" s="9">
        <v>718</v>
      </c>
      <c r="K11" s="5">
        <v>547.6</v>
      </c>
      <c r="L11" s="1">
        <v>0</v>
      </c>
      <c r="M11" s="5">
        <v>0.04</v>
      </c>
      <c r="N11" s="5">
        <v>1128</v>
      </c>
      <c r="O11" s="5">
        <v>7.82</v>
      </c>
      <c r="P11" s="10">
        <v>2.2999999999999998</v>
      </c>
      <c r="Q11" s="1">
        <v>0</v>
      </c>
      <c r="R11" s="11"/>
    </row>
    <row r="12" spans="1:25" x14ac:dyDescent="0.25">
      <c r="B12" s="1">
        <v>0</v>
      </c>
      <c r="C12" s="1">
        <v>46.082900000000002</v>
      </c>
      <c r="D12" s="1">
        <v>1000</v>
      </c>
      <c r="E12" s="1">
        <v>0</v>
      </c>
      <c r="F12" s="1">
        <v>0</v>
      </c>
      <c r="G12" s="1">
        <v>0</v>
      </c>
      <c r="H12" s="1">
        <v>0</v>
      </c>
      <c r="I12" s="7">
        <v>32.369999999999997</v>
      </c>
      <c r="J12" s="2">
        <v>709.7</v>
      </c>
      <c r="K12" s="4">
        <v>552.4</v>
      </c>
      <c r="L12" s="1">
        <v>0</v>
      </c>
      <c r="M12" s="1">
        <v>0.06</v>
      </c>
      <c r="N12" s="1">
        <v>1107</v>
      </c>
      <c r="O12" s="1">
        <v>7.94</v>
      </c>
      <c r="P12" s="3">
        <v>2.7</v>
      </c>
      <c r="Q12" s="1">
        <v>0</v>
      </c>
      <c r="R12" s="11"/>
    </row>
    <row r="13" spans="1:25" x14ac:dyDescent="0.25">
      <c r="B13" s="1">
        <v>0</v>
      </c>
      <c r="C13" s="1">
        <v>46.082900000000002</v>
      </c>
      <c r="D13" s="1">
        <v>1000</v>
      </c>
      <c r="E13" s="1">
        <v>0</v>
      </c>
      <c r="F13" s="1">
        <v>0</v>
      </c>
      <c r="G13" s="1">
        <v>0</v>
      </c>
      <c r="H13" s="1">
        <v>0</v>
      </c>
      <c r="I13" s="7">
        <v>30.93</v>
      </c>
      <c r="J13" s="2">
        <v>675.6</v>
      </c>
      <c r="K13" s="1">
        <v>533.79999999999995</v>
      </c>
      <c r="L13" s="1">
        <v>0</v>
      </c>
      <c r="M13" s="1">
        <v>7.0000000000000007E-2</v>
      </c>
      <c r="N13" s="1">
        <v>1197</v>
      </c>
      <c r="O13" s="1">
        <v>7.66</v>
      </c>
      <c r="P13" s="3">
        <v>2.6</v>
      </c>
      <c r="Q13" s="1">
        <v>0</v>
      </c>
      <c r="R13" s="11"/>
    </row>
    <row r="14" spans="1:25" x14ac:dyDescent="0.25">
      <c r="B14" s="1">
        <v>0</v>
      </c>
      <c r="C14" s="1">
        <v>46.082900000000002</v>
      </c>
      <c r="D14" s="1">
        <v>1000</v>
      </c>
      <c r="E14" s="1">
        <v>0</v>
      </c>
      <c r="F14" s="1">
        <v>0</v>
      </c>
      <c r="G14" s="1">
        <v>0</v>
      </c>
      <c r="H14" s="1">
        <v>0</v>
      </c>
      <c r="I14" s="7">
        <v>31.57</v>
      </c>
      <c r="J14" s="2">
        <v>694.2</v>
      </c>
      <c r="K14" s="1">
        <v>514.1</v>
      </c>
      <c r="L14" s="1">
        <v>0</v>
      </c>
      <c r="M14" s="1">
        <v>0.06</v>
      </c>
      <c r="N14" s="1">
        <v>841</v>
      </c>
      <c r="O14" s="1">
        <v>7.96</v>
      </c>
      <c r="P14" s="3">
        <v>2.6</v>
      </c>
      <c r="Q14" s="1">
        <v>0</v>
      </c>
      <c r="R14" s="11"/>
    </row>
    <row r="15" spans="1:25" x14ac:dyDescent="0.25">
      <c r="B15" s="1">
        <v>0</v>
      </c>
      <c r="C15" s="1">
        <v>46.082900000000002</v>
      </c>
      <c r="D15" s="1">
        <v>1000</v>
      </c>
      <c r="E15" s="1">
        <v>0</v>
      </c>
      <c r="F15" s="1">
        <v>0</v>
      </c>
      <c r="G15" s="1">
        <v>0</v>
      </c>
      <c r="H15" s="1">
        <v>0</v>
      </c>
      <c r="I15" s="7">
        <v>32.1</v>
      </c>
      <c r="J15" s="2">
        <v>708</v>
      </c>
      <c r="K15" s="1">
        <v>455.4</v>
      </c>
      <c r="L15" s="1">
        <v>0</v>
      </c>
      <c r="M15" s="1">
        <v>7.0000000000000007E-2</v>
      </c>
      <c r="N15" s="1">
        <v>686</v>
      </c>
      <c r="O15" s="1">
        <v>7.96</v>
      </c>
      <c r="P15" s="3">
        <v>2.5</v>
      </c>
      <c r="Q15" s="1">
        <v>0</v>
      </c>
      <c r="R15" s="11"/>
    </row>
    <row r="16" spans="1:25" x14ac:dyDescent="0.25">
      <c r="B16" s="1">
        <v>0</v>
      </c>
      <c r="C16" s="1">
        <v>46.082900000000002</v>
      </c>
      <c r="D16" s="1">
        <v>1000</v>
      </c>
      <c r="E16" s="1">
        <v>0</v>
      </c>
      <c r="F16" s="1">
        <v>0</v>
      </c>
      <c r="G16" s="1">
        <v>0</v>
      </c>
      <c r="H16" s="1">
        <v>0</v>
      </c>
      <c r="I16" s="7">
        <v>33.799999999999997</v>
      </c>
      <c r="J16" s="2">
        <v>718.4</v>
      </c>
      <c r="K16" s="1">
        <v>451.3</v>
      </c>
      <c r="L16" s="1">
        <v>0</v>
      </c>
      <c r="M16" s="1">
        <v>7.0000000000000007E-2</v>
      </c>
      <c r="N16" s="1">
        <v>669</v>
      </c>
      <c r="O16" s="1">
        <v>8</v>
      </c>
      <c r="P16" s="3">
        <v>2.2999999999999998</v>
      </c>
      <c r="Q16" s="1">
        <v>0</v>
      </c>
      <c r="R16" s="11"/>
    </row>
    <row r="17" spans="1:25" x14ac:dyDescent="0.25">
      <c r="A17" s="1"/>
      <c r="B17" s="1">
        <v>0</v>
      </c>
      <c r="C17" s="1">
        <v>46.082900000000002</v>
      </c>
      <c r="D17" s="1">
        <v>1000</v>
      </c>
      <c r="E17" s="1">
        <v>0</v>
      </c>
      <c r="F17" s="1">
        <v>0</v>
      </c>
      <c r="G17" s="1">
        <v>0</v>
      </c>
      <c r="H17" s="1">
        <v>0</v>
      </c>
      <c r="I17" s="6">
        <v>27.84</v>
      </c>
      <c r="J17" s="2">
        <v>650.29999999999995</v>
      </c>
      <c r="K17" s="1">
        <v>372.2</v>
      </c>
      <c r="L17" s="1">
        <v>0</v>
      </c>
      <c r="M17" s="1">
        <v>0.04</v>
      </c>
      <c r="N17" s="1">
        <v>946</v>
      </c>
      <c r="O17" s="1">
        <v>7.5</v>
      </c>
      <c r="P17" s="3">
        <v>2.1</v>
      </c>
      <c r="Q17" s="1">
        <v>0</v>
      </c>
      <c r="R17" s="11" t="s">
        <v>13</v>
      </c>
    </row>
    <row r="18" spans="1:25" x14ac:dyDescent="0.25">
      <c r="A18" s="1"/>
      <c r="B18" s="1">
        <v>0</v>
      </c>
      <c r="C18" s="1">
        <v>46.082900000000002</v>
      </c>
      <c r="D18" s="1">
        <v>1000</v>
      </c>
      <c r="E18" s="1">
        <v>0</v>
      </c>
      <c r="F18" s="1">
        <v>0</v>
      </c>
      <c r="G18" s="1">
        <v>0</v>
      </c>
      <c r="H18" s="1">
        <v>0</v>
      </c>
      <c r="I18" s="6">
        <v>29.85</v>
      </c>
      <c r="J18" s="2">
        <v>679.8</v>
      </c>
      <c r="K18" s="1">
        <v>494.3</v>
      </c>
      <c r="L18" s="1">
        <v>0</v>
      </c>
      <c r="M18" s="1">
        <v>0.04</v>
      </c>
      <c r="N18" s="1">
        <v>1107</v>
      </c>
      <c r="O18" s="1">
        <v>7.44</v>
      </c>
      <c r="P18" s="3">
        <v>1.9</v>
      </c>
      <c r="Q18" s="1">
        <v>0</v>
      </c>
      <c r="R18" s="11"/>
    </row>
    <row r="19" spans="1:25" x14ac:dyDescent="0.25">
      <c r="A19" s="1"/>
      <c r="B19" s="1">
        <v>0</v>
      </c>
      <c r="C19" s="1">
        <v>46.082900000000002</v>
      </c>
      <c r="D19" s="1">
        <v>1000</v>
      </c>
      <c r="E19" s="1">
        <v>0</v>
      </c>
      <c r="F19" s="1">
        <v>0</v>
      </c>
      <c r="G19" s="1">
        <v>0</v>
      </c>
      <c r="H19" s="1">
        <v>0</v>
      </c>
      <c r="I19" s="6">
        <v>30.21</v>
      </c>
      <c r="J19" s="2">
        <v>689</v>
      </c>
      <c r="K19" s="1">
        <v>501.1</v>
      </c>
      <c r="L19" s="1">
        <v>0</v>
      </c>
      <c r="M19" s="1">
        <v>0.04</v>
      </c>
      <c r="N19" s="1">
        <v>1188</v>
      </c>
      <c r="O19" s="1">
        <v>7.42</v>
      </c>
      <c r="P19" s="3">
        <v>1.5</v>
      </c>
      <c r="Q19" s="1">
        <v>0</v>
      </c>
      <c r="R19" s="11"/>
    </row>
    <row r="20" spans="1:25" x14ac:dyDescent="0.25">
      <c r="A20" s="1"/>
      <c r="B20" s="1">
        <v>0</v>
      </c>
      <c r="C20" s="1">
        <v>46.082900000000002</v>
      </c>
      <c r="D20" s="1">
        <v>1000</v>
      </c>
      <c r="E20" s="1">
        <v>0</v>
      </c>
      <c r="F20" s="1">
        <v>0</v>
      </c>
      <c r="G20" s="1">
        <v>0</v>
      </c>
      <c r="H20" s="1">
        <v>0</v>
      </c>
      <c r="I20" s="6">
        <v>31.72</v>
      </c>
      <c r="J20" s="2">
        <v>684.9</v>
      </c>
      <c r="K20" s="4">
        <v>546.6</v>
      </c>
      <c r="L20" s="1">
        <v>0</v>
      </c>
      <c r="M20" s="1">
        <v>0.05</v>
      </c>
      <c r="N20" s="1">
        <v>1356</v>
      </c>
      <c r="O20" s="1">
        <v>7.34</v>
      </c>
      <c r="P20" s="3">
        <v>1.4</v>
      </c>
      <c r="Q20" s="1">
        <v>0</v>
      </c>
      <c r="R20" s="11"/>
    </row>
    <row r="21" spans="1:25" x14ac:dyDescent="0.25">
      <c r="A21" s="1"/>
      <c r="B21" s="1">
        <v>0</v>
      </c>
      <c r="C21" s="1">
        <v>46.082900000000002</v>
      </c>
      <c r="D21" s="1">
        <v>1000</v>
      </c>
      <c r="E21" s="1">
        <v>0</v>
      </c>
      <c r="F21" s="1">
        <v>0</v>
      </c>
      <c r="G21" s="1">
        <v>0</v>
      </c>
      <c r="H21" s="1">
        <v>0</v>
      </c>
      <c r="I21" s="6">
        <v>31.59</v>
      </c>
      <c r="J21" s="2">
        <v>684.9</v>
      </c>
      <c r="K21" s="1">
        <v>539.70000000000005</v>
      </c>
      <c r="L21" s="1">
        <v>0</v>
      </c>
      <c r="M21" s="1">
        <v>7.0000000000000007E-2</v>
      </c>
      <c r="N21" s="1">
        <v>1216</v>
      </c>
      <c r="O21" s="1">
        <v>7.36</v>
      </c>
      <c r="P21" s="3">
        <v>1.8</v>
      </c>
      <c r="Q21" s="1">
        <v>0</v>
      </c>
      <c r="R21" s="11"/>
    </row>
    <row r="22" spans="1:25" x14ac:dyDescent="0.25">
      <c r="A22" s="1"/>
      <c r="B22" s="1">
        <v>0</v>
      </c>
      <c r="C22" s="1">
        <v>46.082900000000002</v>
      </c>
      <c r="D22" s="1">
        <v>1000</v>
      </c>
      <c r="E22" s="1">
        <v>0</v>
      </c>
      <c r="F22" s="1">
        <v>0</v>
      </c>
      <c r="G22" s="1">
        <v>0</v>
      </c>
      <c r="H22" s="1">
        <v>0</v>
      </c>
      <c r="I22" s="6">
        <v>27.35</v>
      </c>
      <c r="J22" s="2">
        <v>642.19999999999993</v>
      </c>
      <c r="K22" s="1">
        <v>422.6</v>
      </c>
      <c r="L22" s="1">
        <v>0</v>
      </c>
      <c r="M22" s="1">
        <v>0.13</v>
      </c>
      <c r="N22" s="1">
        <v>1208</v>
      </c>
      <c r="O22" s="1">
        <v>7.06</v>
      </c>
      <c r="P22" s="3">
        <v>2.1</v>
      </c>
      <c r="Q22" s="1">
        <v>0</v>
      </c>
      <c r="R22" s="11"/>
    </row>
    <row r="23" spans="1:25" x14ac:dyDescent="0.25">
      <c r="A23" s="1"/>
      <c r="B23" s="1">
        <v>0</v>
      </c>
      <c r="C23" s="1">
        <v>46.082900000000002</v>
      </c>
      <c r="D23" s="1">
        <v>1000</v>
      </c>
      <c r="E23" s="1">
        <v>0</v>
      </c>
      <c r="F23" s="1">
        <v>0</v>
      </c>
      <c r="G23" s="1">
        <v>0</v>
      </c>
      <c r="H23" s="1">
        <v>0</v>
      </c>
      <c r="I23" s="6">
        <v>28.93</v>
      </c>
      <c r="J23" s="2">
        <v>663.9</v>
      </c>
      <c r="K23" s="1">
        <v>366.8</v>
      </c>
      <c r="L23" s="1">
        <v>0</v>
      </c>
      <c r="M23" s="1">
        <v>0.13</v>
      </c>
      <c r="N23" s="1">
        <v>1032</v>
      </c>
      <c r="O23" s="1">
        <v>7.22</v>
      </c>
      <c r="P23" s="3">
        <v>2.6</v>
      </c>
      <c r="Q23" s="1">
        <v>0</v>
      </c>
      <c r="R23" s="11"/>
    </row>
    <row r="24" spans="1:25" x14ac:dyDescent="0.25">
      <c r="A24" s="1"/>
      <c r="B24" s="1">
        <v>0</v>
      </c>
      <c r="C24" s="1">
        <v>46.082900000000002</v>
      </c>
      <c r="D24" s="1">
        <v>1000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547.20000000000005</v>
      </c>
      <c r="K24" s="1">
        <v>382.1</v>
      </c>
      <c r="L24" s="1">
        <v>0</v>
      </c>
      <c r="M24" s="1">
        <v>0.15</v>
      </c>
      <c r="N24" s="1">
        <v>865</v>
      </c>
      <c r="O24" s="1">
        <v>7.22</v>
      </c>
      <c r="P24" s="1">
        <v>2.1</v>
      </c>
      <c r="Q24" s="1">
        <v>0</v>
      </c>
      <c r="R24" s="11" t="s">
        <v>19</v>
      </c>
    </row>
    <row r="25" spans="1:25" x14ac:dyDescent="0.25">
      <c r="A25" s="1"/>
      <c r="B25" s="1">
        <v>0</v>
      </c>
      <c r="C25" s="1">
        <v>46.082900000000002</v>
      </c>
      <c r="D25" s="1">
        <v>1000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592.19999999999993</v>
      </c>
      <c r="K25" s="1">
        <v>399.5</v>
      </c>
      <c r="L25" s="1">
        <v>0</v>
      </c>
      <c r="M25" s="1">
        <v>0.15</v>
      </c>
      <c r="N25" s="1">
        <v>914</v>
      </c>
      <c r="O25" s="1">
        <v>7.16</v>
      </c>
      <c r="P25" s="1">
        <v>2.2000000000000002</v>
      </c>
      <c r="Q25" s="1">
        <v>0</v>
      </c>
      <c r="R25" s="11"/>
    </row>
    <row r="26" spans="1:25" x14ac:dyDescent="0.25">
      <c r="A26" s="1"/>
      <c r="B26" s="1">
        <v>0</v>
      </c>
      <c r="C26" s="1">
        <v>46.082900000000002</v>
      </c>
      <c r="D26" s="1">
        <v>1000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641.80000000000007</v>
      </c>
      <c r="K26" s="1">
        <v>422.3</v>
      </c>
      <c r="L26" s="1">
        <v>0</v>
      </c>
      <c r="M26" s="1">
        <v>0.11</v>
      </c>
      <c r="N26" s="1">
        <v>928</v>
      </c>
      <c r="O26" s="1">
        <v>7.1</v>
      </c>
      <c r="P26" s="1">
        <v>1.7</v>
      </c>
      <c r="Q26" s="1">
        <v>0</v>
      </c>
      <c r="R26" s="11"/>
    </row>
    <row r="27" spans="1:25" x14ac:dyDescent="0.25">
      <c r="A27" s="1"/>
      <c r="B27" s="1">
        <v>0</v>
      </c>
      <c r="C27" s="1">
        <v>46.082900000000002</v>
      </c>
      <c r="D27" s="1">
        <v>1000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697.7</v>
      </c>
      <c r="K27" s="1">
        <v>607.29999999999995</v>
      </c>
      <c r="L27" s="1">
        <v>0</v>
      </c>
      <c r="M27" s="1">
        <v>0.05</v>
      </c>
      <c r="N27" s="1">
        <v>1280</v>
      </c>
      <c r="O27" s="1">
        <v>7.14</v>
      </c>
      <c r="P27" s="1">
        <v>1.2</v>
      </c>
      <c r="Q27" s="1">
        <v>0</v>
      </c>
      <c r="R27" s="11"/>
    </row>
    <row r="30" spans="1:25" x14ac:dyDescent="0.25">
      <c r="M30" s="6">
        <v>0</v>
      </c>
      <c r="N30" s="6">
        <v>0.36075903075714399</v>
      </c>
      <c r="O30" s="6">
        <v>746.68729621827504</v>
      </c>
      <c r="P30" s="6">
        <v>4.4000000000000004</v>
      </c>
      <c r="Q30" s="6">
        <v>6.70111806391599</v>
      </c>
      <c r="R30" s="1" t="s">
        <v>12</v>
      </c>
      <c r="T30" s="6">
        <v>0</v>
      </c>
      <c r="U30" s="6">
        <v>0</v>
      </c>
      <c r="V30" s="6">
        <v>0.36075903075714399</v>
      </c>
      <c r="W30" s="6">
        <v>746.68729621827504</v>
      </c>
      <c r="X30" s="6">
        <v>4.4000000000000004</v>
      </c>
      <c r="Y30" s="6">
        <v>6.70111806391599</v>
      </c>
    </row>
    <row r="31" spans="1:25" x14ac:dyDescent="0.25">
      <c r="I31" s="6">
        <v>5</v>
      </c>
      <c r="J31" s="2">
        <v>771.9</v>
      </c>
      <c r="M31" s="6">
        <v>2.2923760066421699</v>
      </c>
      <c r="N31" s="6">
        <v>9.7516037911124602</v>
      </c>
      <c r="O31" s="6">
        <v>747.47831930867903</v>
      </c>
      <c r="P31" s="6">
        <v>3.5</v>
      </c>
      <c r="Q31" s="6">
        <v>6.0313231440472199</v>
      </c>
      <c r="R31" s="11" t="s">
        <v>23</v>
      </c>
      <c r="T31" s="6">
        <v>10</v>
      </c>
      <c r="U31" s="6">
        <v>0</v>
      </c>
      <c r="V31" s="6">
        <v>0.36075903075714399</v>
      </c>
      <c r="W31" s="6">
        <v>746.68729621827504</v>
      </c>
      <c r="X31" s="6">
        <v>4.4000000000000004</v>
      </c>
      <c r="Y31" s="6">
        <v>6.70111806391599</v>
      </c>
    </row>
    <row r="32" spans="1:25" x14ac:dyDescent="0.25">
      <c r="I32" s="6">
        <v>0</v>
      </c>
      <c r="J32" s="2">
        <v>719.1</v>
      </c>
      <c r="M32" s="6">
        <v>2.2857010349090201</v>
      </c>
      <c r="N32" s="6">
        <v>10.9693241630678</v>
      </c>
      <c r="O32" s="6">
        <v>745.30180173997701</v>
      </c>
      <c r="P32" s="6">
        <v>3.7</v>
      </c>
      <c r="Q32" s="6">
        <v>6.0757198795074503</v>
      </c>
      <c r="R32" s="11"/>
      <c r="T32" s="6">
        <v>20</v>
      </c>
      <c r="U32" s="6">
        <v>0</v>
      </c>
      <c r="V32" s="6">
        <v>0.36075903075714399</v>
      </c>
      <c r="W32" s="6">
        <v>746.68729621827504</v>
      </c>
      <c r="X32" s="6">
        <v>4.4000000000000004</v>
      </c>
      <c r="Y32" s="6">
        <v>6.70111806391599</v>
      </c>
    </row>
    <row r="33" spans="9:25" x14ac:dyDescent="0.25">
      <c r="I33" s="6">
        <v>10</v>
      </c>
      <c r="J33" s="2">
        <v>721.19999999999993</v>
      </c>
      <c r="M33" s="6">
        <v>1.68944477969703</v>
      </c>
      <c r="N33" s="6">
        <v>13.024412505192901</v>
      </c>
      <c r="O33" s="6">
        <v>722.11696869336004</v>
      </c>
      <c r="P33" s="6">
        <v>3.5</v>
      </c>
      <c r="Q33" s="6">
        <v>6.2328847156865503</v>
      </c>
      <c r="R33" s="11"/>
      <c r="T33" s="6">
        <v>40</v>
      </c>
      <c r="U33" s="6">
        <v>0</v>
      </c>
      <c r="V33" s="6">
        <v>0.36075903075714399</v>
      </c>
      <c r="W33" s="6">
        <v>746.68729621827504</v>
      </c>
      <c r="X33" s="6">
        <v>4.4000000000000004</v>
      </c>
      <c r="Y33" s="6">
        <v>6.70111806391599</v>
      </c>
    </row>
    <row r="34" spans="9:25" x14ac:dyDescent="0.25">
      <c r="I34" s="6">
        <v>20</v>
      </c>
      <c r="J34" s="2">
        <v>731.8</v>
      </c>
      <c r="M34" s="6">
        <v>0.55510761933471997</v>
      </c>
      <c r="N34" s="6">
        <v>11.747266741449801</v>
      </c>
      <c r="O34" s="6">
        <v>724.01893778942804</v>
      </c>
      <c r="P34" s="6">
        <v>3.1</v>
      </c>
      <c r="Q34" s="6">
        <v>6.5588344257051503</v>
      </c>
      <c r="R34" s="11"/>
      <c r="T34" s="6">
        <v>60</v>
      </c>
      <c r="U34" s="6">
        <v>0</v>
      </c>
      <c r="V34" s="6">
        <v>0.36075903075714399</v>
      </c>
      <c r="W34" s="6">
        <v>746.68729621827504</v>
      </c>
      <c r="X34" s="6">
        <v>4.4000000000000004</v>
      </c>
      <c r="Y34" s="6">
        <v>6.70111806391599</v>
      </c>
    </row>
    <row r="35" spans="9:25" x14ac:dyDescent="0.25">
      <c r="I35" s="6">
        <v>40</v>
      </c>
      <c r="J35" s="2">
        <v>742.40000000000009</v>
      </c>
      <c r="M35" s="6">
        <v>1.10013853869219</v>
      </c>
      <c r="N35" s="6">
        <v>9.0895017693232898</v>
      </c>
      <c r="O35" s="6">
        <v>724.36264640461798</v>
      </c>
      <c r="P35" s="6">
        <v>2.8</v>
      </c>
      <c r="Q35" s="6">
        <v>6.3745955998035404</v>
      </c>
      <c r="R35" s="11"/>
      <c r="T35" s="6">
        <v>120</v>
      </c>
      <c r="U35" s="6">
        <v>0</v>
      </c>
      <c r="V35" s="6">
        <v>0.36075903075714399</v>
      </c>
      <c r="W35" s="6">
        <v>746.68729621827504</v>
      </c>
      <c r="X35" s="6">
        <v>4.4000000000000004</v>
      </c>
      <c r="Y35" s="6">
        <v>6.70111806391599</v>
      </c>
    </row>
    <row r="36" spans="9:25" x14ac:dyDescent="0.25">
      <c r="I36" s="6">
        <v>60</v>
      </c>
      <c r="J36" s="2">
        <v>749.2</v>
      </c>
      <c r="M36" s="6">
        <v>1.10116739236899</v>
      </c>
      <c r="N36" s="6">
        <v>7.8127826488580201</v>
      </c>
      <c r="O36" s="6">
        <v>726.77047896353599</v>
      </c>
      <c r="P36" s="6">
        <v>3.1</v>
      </c>
      <c r="Q36" s="6">
        <v>6.1245750541357404</v>
      </c>
      <c r="R36" s="11"/>
      <c r="T36" s="6">
        <v>180</v>
      </c>
      <c r="U36" s="6">
        <v>0</v>
      </c>
      <c r="V36" s="6">
        <v>0.36075903075714399</v>
      </c>
      <c r="W36" s="6">
        <v>746.68729621827504</v>
      </c>
      <c r="X36" s="6">
        <v>4.4000000000000004</v>
      </c>
      <c r="Y36" s="6">
        <v>6.70111806391599</v>
      </c>
    </row>
    <row r="37" spans="9:25" x14ac:dyDescent="0.25">
      <c r="I37" s="6">
        <v>120</v>
      </c>
      <c r="J37" s="2">
        <v>748.5</v>
      </c>
      <c r="M37" s="6">
        <v>1.1088709715971901</v>
      </c>
      <c r="N37" s="6">
        <v>7.4076541156162401</v>
      </c>
      <c r="O37" s="6">
        <v>726.62730667375899</v>
      </c>
      <c r="P37" s="6">
        <v>2.9</v>
      </c>
      <c r="Q37" s="6">
        <v>5.9096486380578304</v>
      </c>
      <c r="R37" s="11"/>
    </row>
    <row r="38" spans="9:25" x14ac:dyDescent="0.25">
      <c r="I38" s="6">
        <v>180</v>
      </c>
      <c r="J38" s="2">
        <v>743.3</v>
      </c>
      <c r="M38" s="6">
        <v>1.7469770945065499</v>
      </c>
      <c r="N38" s="6">
        <v>20.0677754527531</v>
      </c>
      <c r="O38" s="6">
        <v>710.10459422418796</v>
      </c>
      <c r="P38" s="6">
        <v>2.2000000000000002</v>
      </c>
      <c r="Q38" s="6">
        <v>5.2225048346418896</v>
      </c>
      <c r="R38" s="11" t="s">
        <v>22</v>
      </c>
    </row>
    <row r="39" spans="9:25" x14ac:dyDescent="0.25">
      <c r="I39" s="6">
        <v>0</v>
      </c>
      <c r="J39" s="2">
        <v>707.7</v>
      </c>
      <c r="M39" s="6">
        <v>2.29588800330973</v>
      </c>
      <c r="N39" s="6">
        <v>19.885669948667001</v>
      </c>
      <c r="O39" s="6">
        <v>705.32959301679603</v>
      </c>
      <c r="P39" s="6">
        <v>2.2999999999999998</v>
      </c>
      <c r="Q39" s="6">
        <v>5.1636161114438099</v>
      </c>
      <c r="R39" s="11"/>
    </row>
    <row r="40" spans="9:25" x14ac:dyDescent="0.25">
      <c r="I40" s="6">
        <v>10</v>
      </c>
      <c r="J40" s="9">
        <v>718</v>
      </c>
      <c r="M40" s="6">
        <v>3.4841079041349499</v>
      </c>
      <c r="N40" s="6">
        <v>19.743692898181902</v>
      </c>
      <c r="O40" s="6">
        <v>724.52853415987397</v>
      </c>
      <c r="P40" s="6">
        <v>2.7</v>
      </c>
      <c r="Q40" s="6">
        <v>5.26979615995422</v>
      </c>
      <c r="R40" s="11"/>
    </row>
    <row r="41" spans="9:25" x14ac:dyDescent="0.25">
      <c r="I41" s="6">
        <v>20</v>
      </c>
      <c r="J41" s="2">
        <v>709.7</v>
      </c>
      <c r="M41" s="6">
        <v>4.2699574839530401</v>
      </c>
      <c r="N41" s="6">
        <v>22.4264266996476</v>
      </c>
      <c r="O41" s="6">
        <v>734.25840326098603</v>
      </c>
      <c r="P41" s="6">
        <v>2.6</v>
      </c>
      <c r="Q41" s="6">
        <v>5.3493853074984701</v>
      </c>
      <c r="R41" s="11"/>
    </row>
    <row r="42" spans="9:25" x14ac:dyDescent="0.25">
      <c r="I42" s="6">
        <v>40</v>
      </c>
      <c r="J42" s="2">
        <v>675.6</v>
      </c>
      <c r="M42" s="6">
        <v>3.5619005755755899</v>
      </c>
      <c r="N42" s="6">
        <v>15.3344060136357</v>
      </c>
      <c r="O42" s="6">
        <v>742.57146285094996</v>
      </c>
      <c r="P42" s="6">
        <v>2.6</v>
      </c>
      <c r="Q42" s="6">
        <v>5.0139263066403004</v>
      </c>
      <c r="R42" s="11"/>
    </row>
    <row r="43" spans="9:25" x14ac:dyDescent="0.25">
      <c r="I43" s="6">
        <v>60</v>
      </c>
      <c r="J43" s="2">
        <v>694.2</v>
      </c>
      <c r="M43" s="6">
        <v>4.07455264994163</v>
      </c>
      <c r="N43" s="6">
        <v>12.264403476324301</v>
      </c>
      <c r="O43" s="6">
        <v>728.09761230385504</v>
      </c>
      <c r="P43" s="6">
        <v>2.5</v>
      </c>
      <c r="Q43" s="6">
        <v>4.3548652414304696</v>
      </c>
      <c r="R43" s="11"/>
    </row>
    <row r="44" spans="9:25" x14ac:dyDescent="0.25">
      <c r="I44" s="6">
        <v>120</v>
      </c>
      <c r="J44" s="2">
        <v>708</v>
      </c>
      <c r="M44" s="6">
        <v>4.0155669211562799</v>
      </c>
      <c r="N44" s="6">
        <v>11.787327920500299</v>
      </c>
      <c r="O44" s="6">
        <v>721.16303890153597</v>
      </c>
      <c r="P44" s="6">
        <v>2.2999999999999998</v>
      </c>
      <c r="Q44" s="6">
        <v>4.2531819474398098</v>
      </c>
      <c r="R44" s="11"/>
    </row>
    <row r="45" spans="9:25" x14ac:dyDescent="0.25">
      <c r="I45" s="6">
        <v>180</v>
      </c>
      <c r="J45" s="2">
        <v>718.4</v>
      </c>
      <c r="M45" s="6">
        <v>2.5349032544616099</v>
      </c>
      <c r="N45" s="6">
        <v>18.413356175891</v>
      </c>
      <c r="O45" s="6">
        <v>746.89113747529598</v>
      </c>
      <c r="P45" s="6">
        <v>2.1</v>
      </c>
      <c r="Q45" s="6">
        <v>3.87505228574001</v>
      </c>
      <c r="R45" s="11" t="s">
        <v>13</v>
      </c>
    </row>
    <row r="46" spans="9:25" x14ac:dyDescent="0.25">
      <c r="I46" s="6">
        <v>0</v>
      </c>
      <c r="J46" s="2">
        <v>650.29999999999995</v>
      </c>
      <c r="M46" s="6">
        <v>2.4249008331514901</v>
      </c>
      <c r="N46" s="6">
        <v>20.612090099793601</v>
      </c>
      <c r="O46" s="6">
        <v>708.763872089708</v>
      </c>
      <c r="P46" s="6">
        <v>1.9</v>
      </c>
      <c r="Q46" s="6">
        <v>4.9229384075028602</v>
      </c>
      <c r="R46" s="11"/>
    </row>
    <row r="47" spans="9:25" x14ac:dyDescent="0.25">
      <c r="I47" s="6">
        <v>10</v>
      </c>
      <c r="J47" s="2">
        <v>679.8</v>
      </c>
      <c r="M47" s="6">
        <v>2.3925218960470001</v>
      </c>
      <c r="N47" s="6">
        <v>21.824926524583098</v>
      </c>
      <c r="O47" s="6">
        <v>697.42013269770098</v>
      </c>
      <c r="P47" s="6">
        <v>1.5</v>
      </c>
      <c r="Q47" s="6">
        <v>4.9240236800911603</v>
      </c>
      <c r="R47" s="11"/>
    </row>
    <row r="48" spans="9:25" x14ac:dyDescent="0.25">
      <c r="I48" s="6">
        <v>20</v>
      </c>
      <c r="J48" s="2">
        <v>689</v>
      </c>
      <c r="M48" s="6">
        <v>3.00855523867788</v>
      </c>
      <c r="N48" s="6">
        <v>25.060405550975702</v>
      </c>
      <c r="O48" s="6">
        <v>694.03071420243498</v>
      </c>
      <c r="P48" s="6">
        <v>1.4</v>
      </c>
      <c r="Q48" s="6">
        <v>5.4032792499443696</v>
      </c>
      <c r="R48" s="11"/>
    </row>
    <row r="49" spans="9:18" x14ac:dyDescent="0.25">
      <c r="I49" s="6">
        <v>40</v>
      </c>
      <c r="J49" s="2">
        <v>684.9</v>
      </c>
      <c r="M49" s="6">
        <v>4.2119773341490401</v>
      </c>
      <c r="N49" s="6">
        <v>22.473048045712702</v>
      </c>
      <c r="O49" s="6">
        <v>695.92180606674594</v>
      </c>
      <c r="P49" s="6">
        <v>1.8</v>
      </c>
      <c r="Q49" s="6">
        <v>5.3350710047474896</v>
      </c>
      <c r="R49" s="11"/>
    </row>
    <row r="50" spans="9:18" x14ac:dyDescent="0.25">
      <c r="I50" s="6">
        <v>60</v>
      </c>
      <c r="J50" s="2">
        <v>684.9</v>
      </c>
      <c r="M50" s="6">
        <v>8.3423460849007292</v>
      </c>
      <c r="N50" s="6">
        <v>23.809605771103499</v>
      </c>
      <c r="O50" s="6">
        <v>711.94131533339703</v>
      </c>
      <c r="P50" s="6">
        <v>2.1</v>
      </c>
      <c r="Q50" s="6">
        <v>4.4552711800009996</v>
      </c>
      <c r="R50" s="11"/>
    </row>
    <row r="51" spans="9:18" x14ac:dyDescent="0.25">
      <c r="I51" s="6">
        <v>120</v>
      </c>
      <c r="J51" s="2">
        <v>642.19999999999993</v>
      </c>
      <c r="M51" s="6">
        <v>8.0696711187275891</v>
      </c>
      <c r="N51" s="6">
        <v>19.6758090969591</v>
      </c>
      <c r="O51" s="6">
        <v>704.27832994433595</v>
      </c>
      <c r="P51" s="6">
        <v>2.6</v>
      </c>
      <c r="Q51" s="6">
        <v>3.7406029354963501</v>
      </c>
      <c r="R51" s="11"/>
    </row>
    <row r="52" spans="9:18" x14ac:dyDescent="0.25">
      <c r="I52" s="6">
        <v>180</v>
      </c>
      <c r="J52" s="2">
        <v>663.9</v>
      </c>
      <c r="M52" s="6">
        <v>11.2969269899697</v>
      </c>
      <c r="N52" s="6">
        <v>20.009009494853501</v>
      </c>
      <c r="O52" s="6">
        <v>854.47803956513997</v>
      </c>
      <c r="P52" s="6">
        <v>2.1</v>
      </c>
      <c r="Q52" s="6">
        <v>4.7276563555214803</v>
      </c>
      <c r="R52" s="11" t="s">
        <v>19</v>
      </c>
    </row>
    <row r="53" spans="9:18" x14ac:dyDescent="0.25">
      <c r="I53" s="6">
        <v>0</v>
      </c>
      <c r="J53" s="1">
        <v>547.20000000000005</v>
      </c>
      <c r="M53" s="6">
        <v>10.4384978873885</v>
      </c>
      <c r="N53" s="6">
        <v>19.535897331911499</v>
      </c>
      <c r="O53" s="6">
        <v>782.98675581972805</v>
      </c>
      <c r="P53" s="6">
        <v>2.2000000000000002</v>
      </c>
      <c r="Q53" s="6">
        <v>4.5673398970604202</v>
      </c>
      <c r="R53" s="11"/>
    </row>
    <row r="54" spans="9:18" x14ac:dyDescent="0.25">
      <c r="I54" s="6">
        <v>10</v>
      </c>
      <c r="J54" s="1">
        <v>592.19999999999993</v>
      </c>
      <c r="M54" s="6">
        <v>7.0633076698894603</v>
      </c>
      <c r="N54" s="6">
        <v>18.302222679173301</v>
      </c>
      <c r="O54" s="6">
        <v>716.42120651736002</v>
      </c>
      <c r="P54" s="6">
        <v>1.7</v>
      </c>
      <c r="Q54" s="6">
        <v>4.45488318616035</v>
      </c>
      <c r="R54" s="11"/>
    </row>
    <row r="55" spans="9:18" x14ac:dyDescent="0.25">
      <c r="I55" s="6">
        <v>20</v>
      </c>
      <c r="J55" s="1">
        <v>641.80000000000007</v>
      </c>
      <c r="M55" s="6">
        <v>2.9533603023799402</v>
      </c>
      <c r="N55" s="6">
        <v>23.221850148998801</v>
      </c>
      <c r="O55" s="6">
        <v>662.73405185405704</v>
      </c>
      <c r="P55" s="6">
        <v>1.2</v>
      </c>
      <c r="Q55" s="6">
        <v>5.89317733823039</v>
      </c>
      <c r="R55" s="11"/>
    </row>
    <row r="56" spans="9:18" x14ac:dyDescent="0.25">
      <c r="I56" s="6">
        <v>40</v>
      </c>
      <c r="J56" s="1">
        <v>697.7</v>
      </c>
    </row>
  </sheetData>
  <mergeCells count="8">
    <mergeCell ref="R38:R44"/>
    <mergeCell ref="R45:R51"/>
    <mergeCell ref="R52:R55"/>
    <mergeCell ref="R3:R9"/>
    <mergeCell ref="R10:R16"/>
    <mergeCell ref="R24:R27"/>
    <mergeCell ref="R17:R23"/>
    <mergeCell ref="R31:R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1F87-96C5-43CA-A1A9-552B837F7395}">
  <dimension ref="A1:Y51"/>
  <sheetViews>
    <sheetView workbookViewId="0">
      <selection sqref="A1:R2"/>
    </sheetView>
  </sheetViews>
  <sheetFormatPr defaultRowHeight="15" x14ac:dyDescent="0.25"/>
  <sheetData>
    <row r="1" spans="1:2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/>
    </row>
    <row r="2" spans="1:25" x14ac:dyDescent="0.25">
      <c r="A2" s="1" t="s">
        <v>12</v>
      </c>
      <c r="B2" s="1">
        <v>0</v>
      </c>
      <c r="C2" s="1">
        <v>46.082900000000002</v>
      </c>
      <c r="D2" s="1">
        <v>1000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2">
        <v>771.9</v>
      </c>
      <c r="K2" s="1">
        <v>764</v>
      </c>
      <c r="L2" s="1">
        <v>0</v>
      </c>
      <c r="M2" s="1">
        <v>0</v>
      </c>
      <c r="N2" s="1">
        <v>22</v>
      </c>
      <c r="O2" s="1">
        <v>8.9</v>
      </c>
      <c r="P2" s="1">
        <v>4.4000000000000004</v>
      </c>
      <c r="Q2" s="1">
        <v>0</v>
      </c>
      <c r="R2" s="1" t="s">
        <v>12</v>
      </c>
    </row>
    <row r="3" spans="1:25" x14ac:dyDescent="0.25">
      <c r="A3" s="1"/>
      <c r="B3" s="1">
        <v>0</v>
      </c>
      <c r="C3" s="1">
        <v>23.041450000000001</v>
      </c>
      <c r="D3" s="1">
        <v>1000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2">
        <v>650.29999999999995</v>
      </c>
      <c r="K3" s="1">
        <v>372.2</v>
      </c>
      <c r="L3" s="1">
        <v>0</v>
      </c>
      <c r="M3" s="1">
        <v>0.04</v>
      </c>
      <c r="N3" s="1">
        <v>946</v>
      </c>
      <c r="O3" s="1">
        <v>7.5</v>
      </c>
      <c r="P3" s="3">
        <v>2.1</v>
      </c>
      <c r="Q3" s="1">
        <v>0</v>
      </c>
      <c r="R3" s="11" t="s">
        <v>13</v>
      </c>
      <c r="V3" t="s">
        <v>14</v>
      </c>
    </row>
    <row r="4" spans="1:25" x14ac:dyDescent="0.25">
      <c r="A4" s="1"/>
      <c r="B4" s="1">
        <v>0</v>
      </c>
      <c r="C4" s="1">
        <v>23.041450000000001</v>
      </c>
      <c r="D4" s="1">
        <v>1000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2">
        <v>679.8</v>
      </c>
      <c r="K4" s="1">
        <v>494.3</v>
      </c>
      <c r="L4" s="1">
        <v>0</v>
      </c>
      <c r="M4" s="1">
        <v>0.04</v>
      </c>
      <c r="N4" s="1">
        <v>1107</v>
      </c>
      <c r="O4" s="1">
        <v>7.44</v>
      </c>
      <c r="P4" s="3">
        <v>1.9</v>
      </c>
      <c r="Q4" s="1">
        <v>0</v>
      </c>
      <c r="R4" s="11"/>
      <c r="U4" t="s">
        <v>15</v>
      </c>
      <c r="V4" t="s">
        <v>16</v>
      </c>
      <c r="W4" t="s">
        <v>17</v>
      </c>
      <c r="X4" t="s">
        <v>18</v>
      </c>
      <c r="Y4" t="s">
        <v>17</v>
      </c>
    </row>
    <row r="5" spans="1:25" x14ac:dyDescent="0.25">
      <c r="A5" s="1"/>
      <c r="B5" s="1">
        <v>0</v>
      </c>
      <c r="C5" s="1">
        <v>23.041450000000001</v>
      </c>
      <c r="D5" s="1">
        <v>1000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2">
        <v>689</v>
      </c>
      <c r="K5" s="1">
        <v>501.1</v>
      </c>
      <c r="L5" s="1">
        <v>0</v>
      </c>
      <c r="M5" s="1">
        <v>0.04</v>
      </c>
      <c r="N5" s="1">
        <v>1188</v>
      </c>
      <c r="O5" s="1">
        <v>7.42</v>
      </c>
      <c r="P5" s="3">
        <v>1.5</v>
      </c>
      <c r="Q5" s="1">
        <v>0</v>
      </c>
      <c r="R5" s="11"/>
      <c r="U5">
        <v>2000</v>
      </c>
      <c r="V5">
        <v>46.082900000000002</v>
      </c>
      <c r="W5">
        <v>1</v>
      </c>
      <c r="X5">
        <v>101.53</v>
      </c>
      <c r="Y5">
        <v>1</v>
      </c>
    </row>
    <row r="6" spans="1:25" x14ac:dyDescent="0.25">
      <c r="A6" s="1"/>
      <c r="B6" s="1">
        <v>0</v>
      </c>
      <c r="C6" s="1">
        <v>23.041450000000001</v>
      </c>
      <c r="D6" s="1">
        <v>1000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2">
        <v>684.9</v>
      </c>
      <c r="K6" s="4">
        <v>546.6</v>
      </c>
      <c r="L6" s="1">
        <v>0</v>
      </c>
      <c r="M6" s="1">
        <v>0.05</v>
      </c>
      <c r="N6" s="1">
        <v>1356</v>
      </c>
      <c r="O6" s="1">
        <v>7.34</v>
      </c>
      <c r="P6" s="3">
        <v>1.4</v>
      </c>
      <c r="Q6" s="1">
        <v>0</v>
      </c>
      <c r="R6" s="11"/>
      <c r="V6">
        <f>W6*$V$5</f>
        <v>13.824870000000001</v>
      </c>
      <c r="W6">
        <v>0.3</v>
      </c>
      <c r="X6">
        <f>Y6*$X$5</f>
        <v>71.070999999999998</v>
      </c>
      <c r="Y6">
        <v>0.7</v>
      </c>
    </row>
    <row r="7" spans="1:25" x14ac:dyDescent="0.25">
      <c r="A7" s="1"/>
      <c r="B7" s="1">
        <v>0</v>
      </c>
      <c r="C7" s="1">
        <v>23.041450000000001</v>
      </c>
      <c r="D7" s="1">
        <v>1000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2">
        <v>684.9</v>
      </c>
      <c r="K7" s="1">
        <v>539.70000000000005</v>
      </c>
      <c r="L7" s="1">
        <v>0</v>
      </c>
      <c r="M7" s="1">
        <v>7.0000000000000007E-2</v>
      </c>
      <c r="N7" s="1">
        <v>1216</v>
      </c>
      <c r="O7" s="1">
        <v>7.36</v>
      </c>
      <c r="P7" s="3">
        <v>1.8</v>
      </c>
      <c r="Q7" s="1">
        <v>0</v>
      </c>
      <c r="R7" s="11"/>
      <c r="V7">
        <f t="shared" ref="V7:V9" si="0">W7*$V$5</f>
        <v>23.041450000000001</v>
      </c>
      <c r="W7">
        <v>0.5</v>
      </c>
      <c r="X7">
        <f t="shared" ref="X7:X9" si="1">Y7*$X$5</f>
        <v>50.765000000000001</v>
      </c>
      <c r="Y7">
        <v>0.5</v>
      </c>
    </row>
    <row r="8" spans="1:25" x14ac:dyDescent="0.25">
      <c r="A8" s="1"/>
      <c r="B8" s="1">
        <v>0</v>
      </c>
      <c r="C8" s="1">
        <v>23.041450000000001</v>
      </c>
      <c r="D8" s="1">
        <v>1000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2">
        <v>642.19999999999993</v>
      </c>
      <c r="K8" s="1">
        <v>422.6</v>
      </c>
      <c r="L8" s="1">
        <v>0</v>
      </c>
      <c r="M8" s="1">
        <v>0.13</v>
      </c>
      <c r="N8" s="1">
        <v>1208</v>
      </c>
      <c r="O8" s="1">
        <v>7.06</v>
      </c>
      <c r="P8" s="3">
        <v>2.1</v>
      </c>
      <c r="Q8" s="1">
        <v>0</v>
      </c>
      <c r="R8" s="11"/>
      <c r="V8">
        <f t="shared" si="0"/>
        <v>32.258029999999998</v>
      </c>
      <c r="W8">
        <v>0.7</v>
      </c>
      <c r="X8">
        <f t="shared" si="1"/>
        <v>30.459</v>
      </c>
      <c r="Y8">
        <v>0.3</v>
      </c>
    </row>
    <row r="9" spans="1:25" x14ac:dyDescent="0.25">
      <c r="A9" s="1"/>
      <c r="B9" s="1">
        <v>0</v>
      </c>
      <c r="C9" s="1">
        <v>23.041450000000001</v>
      </c>
      <c r="D9" s="1">
        <v>1000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2">
        <v>663.9</v>
      </c>
      <c r="K9" s="1">
        <v>366.8</v>
      </c>
      <c r="L9" s="1">
        <v>0</v>
      </c>
      <c r="M9" s="1">
        <v>0.13</v>
      </c>
      <c r="N9" s="1">
        <v>1032</v>
      </c>
      <c r="O9" s="1">
        <v>7.22</v>
      </c>
      <c r="P9" s="3">
        <v>2.6</v>
      </c>
      <c r="Q9" s="1">
        <v>0</v>
      </c>
      <c r="R9" s="11"/>
      <c r="V9">
        <f t="shared" si="0"/>
        <v>41.474610000000006</v>
      </c>
      <c r="W9">
        <v>0.9</v>
      </c>
      <c r="X9">
        <f t="shared" si="1"/>
        <v>10.153</v>
      </c>
      <c r="Y9">
        <v>0.1</v>
      </c>
    </row>
    <row r="10" spans="1:25" x14ac:dyDescent="0.25">
      <c r="A10" s="1"/>
      <c r="B10" s="1">
        <v>0</v>
      </c>
      <c r="C10" s="1">
        <v>13.824870000000001</v>
      </c>
      <c r="D10" s="1">
        <v>1000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547.20000000000005</v>
      </c>
      <c r="K10" s="1">
        <v>382.1</v>
      </c>
      <c r="L10" s="1"/>
      <c r="M10" s="1">
        <v>0.15</v>
      </c>
      <c r="N10" s="1">
        <v>865</v>
      </c>
      <c r="O10" s="1">
        <v>7.22</v>
      </c>
      <c r="P10" s="1">
        <v>2.1</v>
      </c>
      <c r="Q10" s="1">
        <v>0</v>
      </c>
      <c r="R10" s="11" t="s">
        <v>19</v>
      </c>
    </row>
    <row r="11" spans="1:25" x14ac:dyDescent="0.25">
      <c r="A11" s="1"/>
      <c r="B11" s="1">
        <v>0</v>
      </c>
      <c r="C11" s="1">
        <v>13.824870000000001</v>
      </c>
      <c r="D11" s="1">
        <v>1000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592.19999999999993</v>
      </c>
      <c r="K11" s="1">
        <v>399.5</v>
      </c>
      <c r="L11" s="1"/>
      <c r="M11" s="1">
        <v>0.15</v>
      </c>
      <c r="N11" s="1">
        <v>914</v>
      </c>
      <c r="O11" s="1">
        <v>7.16</v>
      </c>
      <c r="P11" s="1">
        <v>2.2000000000000002</v>
      </c>
      <c r="Q11" s="1">
        <v>0</v>
      </c>
      <c r="R11" s="11"/>
    </row>
    <row r="12" spans="1:25" x14ac:dyDescent="0.25">
      <c r="A12" s="1"/>
      <c r="B12" s="1">
        <v>0</v>
      </c>
      <c r="C12" s="1">
        <v>13.824870000000001</v>
      </c>
      <c r="D12" s="1">
        <v>1000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641.80000000000007</v>
      </c>
      <c r="K12" s="1">
        <v>422.3</v>
      </c>
      <c r="L12" s="1"/>
      <c r="M12" s="1">
        <v>0.11</v>
      </c>
      <c r="N12" s="1">
        <v>928</v>
      </c>
      <c r="O12" s="1">
        <v>7.1</v>
      </c>
      <c r="P12" s="1">
        <v>1.7</v>
      </c>
      <c r="Q12" s="1">
        <v>0</v>
      </c>
      <c r="R12" s="11"/>
    </row>
    <row r="13" spans="1:25" x14ac:dyDescent="0.25">
      <c r="A13" s="1"/>
      <c r="B13" s="1">
        <v>0</v>
      </c>
      <c r="C13" s="1">
        <v>13.824870000000001</v>
      </c>
      <c r="D13" s="1">
        <v>1000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697.7</v>
      </c>
      <c r="K13" s="1">
        <v>607.29999999999995</v>
      </c>
      <c r="L13" s="1"/>
      <c r="M13" s="1">
        <v>0.05</v>
      </c>
      <c r="N13" s="1">
        <v>1280</v>
      </c>
      <c r="O13" s="1">
        <v>7.14</v>
      </c>
      <c r="P13" s="1">
        <v>1.2</v>
      </c>
      <c r="Q13" s="1">
        <v>0</v>
      </c>
      <c r="R13" s="11"/>
    </row>
    <row r="14" spans="1:25" x14ac:dyDescent="0.25">
      <c r="A14" s="1"/>
      <c r="B14" s="1">
        <v>0</v>
      </c>
      <c r="C14" s="1">
        <v>23.041450000000001</v>
      </c>
      <c r="D14" s="1">
        <v>1000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643</v>
      </c>
      <c r="K14" s="1">
        <v>526.9</v>
      </c>
      <c r="L14" s="1"/>
      <c r="M14" s="1">
        <v>0.05</v>
      </c>
      <c r="N14" s="1">
        <v>804</v>
      </c>
      <c r="O14" s="1">
        <v>7.52</v>
      </c>
      <c r="P14" s="3">
        <v>1.7</v>
      </c>
      <c r="Q14" s="1">
        <v>0</v>
      </c>
      <c r="R14" s="11" t="s">
        <v>20</v>
      </c>
    </row>
    <row r="15" spans="1:25" x14ac:dyDescent="0.25">
      <c r="A15" s="1"/>
      <c r="B15" s="1">
        <v>0</v>
      </c>
      <c r="C15" s="1">
        <v>23.041450000000001</v>
      </c>
      <c r="D15" s="1">
        <v>1000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669.3</v>
      </c>
      <c r="K15" s="1">
        <v>698.4</v>
      </c>
      <c r="L15" s="1"/>
      <c r="M15" s="1">
        <v>0.04</v>
      </c>
      <c r="N15" s="1">
        <v>804</v>
      </c>
      <c r="O15" s="1">
        <v>7.36</v>
      </c>
      <c r="P15" s="3">
        <v>1.1000000000000001</v>
      </c>
      <c r="Q15" s="1">
        <v>0</v>
      </c>
      <c r="R15" s="11"/>
    </row>
    <row r="16" spans="1:25" x14ac:dyDescent="0.25">
      <c r="A16" s="1"/>
      <c r="B16" s="1">
        <v>0</v>
      </c>
      <c r="C16" s="1">
        <v>23.041450000000001</v>
      </c>
      <c r="D16" s="1">
        <v>1000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680.5</v>
      </c>
      <c r="K16" s="1">
        <v>676.4</v>
      </c>
      <c r="L16" s="1"/>
      <c r="M16" s="1">
        <v>0.04</v>
      </c>
      <c r="N16" s="1">
        <v>778</v>
      </c>
      <c r="O16" s="1">
        <v>7.28</v>
      </c>
      <c r="P16" s="3">
        <v>0.8</v>
      </c>
      <c r="Q16" s="1">
        <v>0</v>
      </c>
      <c r="R16" s="11"/>
    </row>
    <row r="17" spans="1:18" x14ac:dyDescent="0.25">
      <c r="A17" s="1"/>
      <c r="B17" s="1">
        <v>0</v>
      </c>
      <c r="C17" s="1">
        <v>23.041450000000001</v>
      </c>
      <c r="D17" s="1">
        <v>1000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674.6</v>
      </c>
      <c r="K17" s="5">
        <v>756.3</v>
      </c>
      <c r="L17" s="1"/>
      <c r="M17" s="1">
        <v>0.05</v>
      </c>
      <c r="N17" s="1">
        <v>1111</v>
      </c>
      <c r="O17" s="1">
        <v>7.18</v>
      </c>
      <c r="P17" s="3">
        <v>1.2</v>
      </c>
      <c r="Q17" s="1">
        <v>0</v>
      </c>
      <c r="R17" s="11"/>
    </row>
    <row r="18" spans="1:18" x14ac:dyDescent="0.25">
      <c r="A18" s="1"/>
      <c r="B18" s="1">
        <v>0</v>
      </c>
      <c r="C18" s="1">
        <v>23.041450000000001</v>
      </c>
      <c r="D18" s="1">
        <v>1000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672.8</v>
      </c>
      <c r="K18" s="1">
        <v>740.9</v>
      </c>
      <c r="L18" s="1"/>
      <c r="M18" s="1">
        <v>7.0000000000000007E-2</v>
      </c>
      <c r="N18" s="1">
        <v>1047</v>
      </c>
      <c r="O18" s="1">
        <v>7.34</v>
      </c>
      <c r="P18" s="3">
        <v>1.5</v>
      </c>
      <c r="Q18" s="1">
        <v>0</v>
      </c>
      <c r="R18" s="11"/>
    </row>
    <row r="19" spans="1:18" x14ac:dyDescent="0.25">
      <c r="A19" s="1"/>
      <c r="B19" s="1">
        <v>0</v>
      </c>
      <c r="C19" s="1">
        <v>23.041450000000001</v>
      </c>
      <c r="D19" s="1">
        <v>1000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642.1</v>
      </c>
      <c r="K19" s="1">
        <v>651.5</v>
      </c>
      <c r="L19" s="1"/>
      <c r="M19" s="1">
        <v>0.11</v>
      </c>
      <c r="N19" s="1">
        <v>1015</v>
      </c>
      <c r="O19" s="1">
        <v>7.12</v>
      </c>
      <c r="P19" s="3">
        <v>2.1</v>
      </c>
      <c r="Q19" s="1">
        <v>0</v>
      </c>
      <c r="R19" s="11"/>
    </row>
    <row r="20" spans="1:18" x14ac:dyDescent="0.25">
      <c r="A20" s="1"/>
      <c r="B20" s="1">
        <v>0</v>
      </c>
      <c r="C20" s="1">
        <v>23.041450000000001</v>
      </c>
      <c r="D20" s="1">
        <v>1000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662.1</v>
      </c>
      <c r="K20" s="1">
        <v>590.9</v>
      </c>
      <c r="L20" s="1"/>
      <c r="M20" s="1">
        <v>0.12</v>
      </c>
      <c r="N20" s="1">
        <v>842</v>
      </c>
      <c r="O20" s="1">
        <v>7.2</v>
      </c>
      <c r="P20" s="3">
        <v>2.1</v>
      </c>
      <c r="Q20" s="1">
        <v>0</v>
      </c>
      <c r="R20" s="11"/>
    </row>
    <row r="21" spans="1:18" x14ac:dyDescent="0.25">
      <c r="A21" s="1"/>
      <c r="B21" s="1">
        <v>0</v>
      </c>
      <c r="C21" s="1">
        <v>13.824870000000001</v>
      </c>
      <c r="D21" s="1">
        <v>1000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556</v>
      </c>
      <c r="K21" s="1">
        <v>361.4</v>
      </c>
      <c r="L21" s="1"/>
      <c r="M21" s="1">
        <v>0.18</v>
      </c>
      <c r="N21" s="1">
        <v>594</v>
      </c>
      <c r="O21" s="1">
        <v>6.98</v>
      </c>
      <c r="P21" s="1">
        <v>2</v>
      </c>
      <c r="Q21" s="1">
        <v>0</v>
      </c>
      <c r="R21" s="11" t="s">
        <v>21</v>
      </c>
    </row>
    <row r="22" spans="1:18" x14ac:dyDescent="0.25">
      <c r="A22" s="1"/>
      <c r="B22" s="1">
        <v>0</v>
      </c>
      <c r="C22" s="1">
        <v>13.824870000000001</v>
      </c>
      <c r="D22" s="1">
        <v>1000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589.1</v>
      </c>
      <c r="K22" s="1">
        <v>421.5</v>
      </c>
      <c r="L22" s="1"/>
      <c r="M22" s="1">
        <v>0.13</v>
      </c>
      <c r="N22" s="1">
        <v>707</v>
      </c>
      <c r="O22" s="1">
        <v>6.96</v>
      </c>
      <c r="P22" s="1">
        <v>2</v>
      </c>
      <c r="Q22" s="1">
        <v>0</v>
      </c>
      <c r="R22" s="11"/>
    </row>
    <row r="23" spans="1:18" x14ac:dyDescent="0.25">
      <c r="A23" s="1"/>
      <c r="B23" s="1">
        <v>0</v>
      </c>
      <c r="C23" s="1">
        <v>13.824870000000001</v>
      </c>
      <c r="D23" s="1">
        <v>1000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641</v>
      </c>
      <c r="K23" s="1">
        <v>453.8</v>
      </c>
      <c r="L23" s="1"/>
      <c r="M23" s="1">
        <v>0.09</v>
      </c>
      <c r="N23" s="1">
        <v>760</v>
      </c>
      <c r="O23" s="1">
        <v>6.76</v>
      </c>
      <c r="P23" s="1">
        <v>1.9</v>
      </c>
      <c r="Q23" s="1">
        <v>0</v>
      </c>
      <c r="R23" s="11"/>
    </row>
    <row r="24" spans="1:18" x14ac:dyDescent="0.25">
      <c r="A24" s="1"/>
      <c r="B24" s="1">
        <v>0</v>
      </c>
      <c r="C24" s="1">
        <v>13.824870000000001</v>
      </c>
      <c r="D24" s="1">
        <v>1000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699.6</v>
      </c>
      <c r="K24" s="1">
        <v>664.6</v>
      </c>
      <c r="L24" s="1"/>
      <c r="M24" s="1">
        <v>7.0000000000000007E-2</v>
      </c>
      <c r="N24" s="1">
        <v>928</v>
      </c>
      <c r="O24" s="1">
        <v>6.78</v>
      </c>
      <c r="P24" s="1">
        <v>1.1000000000000001</v>
      </c>
      <c r="Q24" s="1">
        <v>0</v>
      </c>
      <c r="R24" s="11"/>
    </row>
    <row r="25" spans="1:18" x14ac:dyDescent="0.25">
      <c r="B25" s="1"/>
      <c r="C25" s="1"/>
      <c r="D25" s="1"/>
      <c r="E25" s="1"/>
      <c r="F25" s="1"/>
      <c r="G25" s="1"/>
      <c r="H25" s="1"/>
      <c r="I25" s="7"/>
      <c r="J25" s="2"/>
      <c r="K25" s="1"/>
      <c r="L25" s="1"/>
      <c r="M25" s="1"/>
      <c r="N25" s="1"/>
      <c r="O25" s="1"/>
      <c r="P25" s="3"/>
      <c r="Q25" s="1"/>
    </row>
    <row r="26" spans="1:18" x14ac:dyDescent="0.25">
      <c r="B26" s="1"/>
      <c r="C26" s="1"/>
      <c r="D26" s="1"/>
      <c r="E26" s="1"/>
      <c r="F26" s="1"/>
      <c r="G26" s="1"/>
      <c r="H26" s="1"/>
      <c r="I26" s="8"/>
      <c r="J26" s="9"/>
      <c r="K26" s="5"/>
      <c r="L26" s="1"/>
      <c r="M26" s="5"/>
      <c r="N26" s="5"/>
      <c r="O26" s="5"/>
      <c r="P26" s="10"/>
      <c r="Q26" s="1"/>
    </row>
    <row r="27" spans="1:18" x14ac:dyDescent="0.25">
      <c r="B27" s="1"/>
      <c r="C27" s="1"/>
      <c r="D27" s="1"/>
      <c r="E27" s="1"/>
      <c r="F27" s="1"/>
      <c r="G27" s="1"/>
      <c r="H27" s="1"/>
      <c r="I27" s="7"/>
      <c r="J27" s="2"/>
      <c r="K27" s="4"/>
      <c r="L27" s="1"/>
      <c r="M27" s="1"/>
      <c r="N27" s="1"/>
      <c r="O27" s="1"/>
      <c r="P27" s="3"/>
      <c r="Q27" s="1"/>
    </row>
    <row r="28" spans="1:18" x14ac:dyDescent="0.25">
      <c r="B28" s="1"/>
      <c r="C28" s="1"/>
      <c r="D28" s="1"/>
      <c r="E28" s="1"/>
      <c r="F28" s="1"/>
      <c r="G28" s="1"/>
      <c r="H28" s="1"/>
      <c r="I28" s="7"/>
      <c r="J28" s="2"/>
      <c r="K28" s="1"/>
      <c r="L28" s="1"/>
      <c r="M28" s="1"/>
      <c r="N28" s="1"/>
      <c r="O28" s="1"/>
      <c r="P28" s="3"/>
      <c r="Q28" s="1"/>
    </row>
    <row r="29" spans="1:18" x14ac:dyDescent="0.25">
      <c r="B29" s="1"/>
      <c r="C29" s="1"/>
      <c r="D29" s="1"/>
      <c r="E29" s="1"/>
      <c r="F29" s="1"/>
      <c r="G29" s="1"/>
      <c r="H29" s="1"/>
      <c r="I29" s="7"/>
      <c r="J29" s="2"/>
      <c r="K29" s="1"/>
      <c r="L29" s="1">
        <v>5</v>
      </c>
      <c r="M29" s="1">
        <v>0</v>
      </c>
      <c r="N29" s="1">
        <v>0.36075903075714399</v>
      </c>
      <c r="O29" s="1">
        <v>746.68729621827504</v>
      </c>
      <c r="P29" s="3">
        <v>4.4000000000000004</v>
      </c>
      <c r="Q29" s="1">
        <v>6.70111806391599</v>
      </c>
      <c r="R29" s="1" t="s">
        <v>12</v>
      </c>
    </row>
    <row r="30" spans="1:18" x14ac:dyDescent="0.25">
      <c r="B30" s="1"/>
      <c r="C30" s="1"/>
      <c r="D30" s="1"/>
      <c r="E30" s="1"/>
      <c r="F30" s="1"/>
      <c r="G30" s="1"/>
      <c r="H30" s="1"/>
      <c r="I30" s="7"/>
      <c r="J30" s="2"/>
      <c r="K30" s="1"/>
      <c r="L30" s="6">
        <v>0</v>
      </c>
      <c r="M30" s="1">
        <v>2.5349032544616099</v>
      </c>
      <c r="N30" s="1">
        <v>18.413356175891</v>
      </c>
      <c r="O30" s="1">
        <v>746.89113747529598</v>
      </c>
      <c r="P30" s="3">
        <v>2.1</v>
      </c>
      <c r="Q30" s="1">
        <v>3.87505228574001</v>
      </c>
      <c r="R30" s="11" t="s">
        <v>13</v>
      </c>
    </row>
    <row r="31" spans="1:18" x14ac:dyDescent="0.25">
      <c r="B31" s="1"/>
      <c r="C31" s="1"/>
      <c r="D31" s="1"/>
      <c r="E31" s="1"/>
      <c r="F31" s="1"/>
      <c r="G31" s="1"/>
      <c r="H31" s="1"/>
      <c r="I31" s="7"/>
      <c r="J31" s="2"/>
      <c r="K31" s="1"/>
      <c r="L31" s="1">
        <v>10</v>
      </c>
      <c r="M31" s="1">
        <v>2.4249008331514901</v>
      </c>
      <c r="N31" s="1">
        <v>20.612090099793601</v>
      </c>
      <c r="O31" s="1">
        <v>708.763872089708</v>
      </c>
      <c r="P31" s="3">
        <v>1.9</v>
      </c>
      <c r="Q31" s="1">
        <v>4.9229384075028602</v>
      </c>
      <c r="R31" s="11"/>
    </row>
    <row r="32" spans="1:18" x14ac:dyDescent="0.25">
      <c r="B32" s="1"/>
      <c r="C32" s="1"/>
      <c r="D32" s="1"/>
      <c r="E32" s="1"/>
      <c r="F32" s="1"/>
      <c r="G32" s="1"/>
      <c r="H32" s="1"/>
      <c r="I32" s="7"/>
      <c r="J32" s="2"/>
      <c r="K32" s="1"/>
      <c r="L32" s="1">
        <v>20</v>
      </c>
      <c r="M32" s="1">
        <v>2.3925218960470001</v>
      </c>
      <c r="N32" s="1">
        <v>21.824926524583098</v>
      </c>
      <c r="O32" s="1">
        <v>697.42013269770098</v>
      </c>
      <c r="P32" s="3">
        <v>1.5</v>
      </c>
      <c r="Q32" s="1">
        <v>4.9240236800911603</v>
      </c>
      <c r="R32" s="11"/>
    </row>
    <row r="33" spans="2:18" x14ac:dyDescent="0.25">
      <c r="B33" s="1"/>
      <c r="C33" s="1"/>
      <c r="D33" s="1"/>
      <c r="E33" s="1"/>
      <c r="F33" s="1"/>
      <c r="G33" s="1"/>
      <c r="H33" s="1"/>
      <c r="I33" s="7"/>
      <c r="J33" s="2"/>
      <c r="K33" s="1"/>
      <c r="L33" s="1">
        <v>40</v>
      </c>
      <c r="M33" s="1">
        <v>3.00855523867788</v>
      </c>
      <c r="N33" s="1">
        <v>25.060405550975702</v>
      </c>
      <c r="O33" s="1">
        <v>694.03071420243498</v>
      </c>
      <c r="P33" s="3">
        <v>1.4</v>
      </c>
      <c r="Q33" s="1">
        <v>5.4032792499443696</v>
      </c>
      <c r="R33" s="11"/>
    </row>
    <row r="34" spans="2:18" x14ac:dyDescent="0.25">
      <c r="B34" s="1"/>
      <c r="C34" s="1"/>
      <c r="D34" s="1"/>
      <c r="E34" s="1"/>
      <c r="F34" s="1"/>
      <c r="G34" s="1"/>
      <c r="H34" s="1"/>
      <c r="I34" s="7"/>
      <c r="J34" s="2"/>
      <c r="K34" s="1"/>
      <c r="L34" s="1">
        <v>60</v>
      </c>
      <c r="M34" s="1">
        <v>4.2119773341490401</v>
      </c>
      <c r="N34" s="1">
        <v>22.473048045712702</v>
      </c>
      <c r="O34" s="1">
        <v>695.92180606674594</v>
      </c>
      <c r="P34" s="3">
        <v>1.8</v>
      </c>
      <c r="Q34" s="1">
        <v>5.3350710047474896</v>
      </c>
      <c r="R34" s="11"/>
    </row>
    <row r="35" spans="2:18" x14ac:dyDescent="0.25">
      <c r="B35" s="1"/>
      <c r="C35" s="1"/>
      <c r="D35" s="1"/>
      <c r="E35" s="1"/>
      <c r="F35" s="1"/>
      <c r="G35" s="1"/>
      <c r="H35" s="1"/>
      <c r="I35" s="7"/>
      <c r="J35" s="2"/>
      <c r="K35" s="1"/>
      <c r="L35" s="1">
        <v>120</v>
      </c>
      <c r="M35" s="1">
        <v>8.3423460849007292</v>
      </c>
      <c r="N35" s="1">
        <v>23.809605771103499</v>
      </c>
      <c r="O35" s="1">
        <v>711.94131533339703</v>
      </c>
      <c r="P35" s="3">
        <v>2.1</v>
      </c>
      <c r="Q35" s="1">
        <v>4.4552711800009996</v>
      </c>
      <c r="R35" s="11"/>
    </row>
    <row r="36" spans="2:18" x14ac:dyDescent="0.25">
      <c r="B36" s="1"/>
      <c r="C36" s="1"/>
      <c r="D36" s="1"/>
      <c r="E36" s="1"/>
      <c r="F36" s="1"/>
      <c r="G36" s="1"/>
      <c r="H36" s="1"/>
      <c r="I36" s="7"/>
      <c r="J36" s="2"/>
      <c r="K36" s="1"/>
      <c r="L36" s="1">
        <v>180</v>
      </c>
      <c r="M36" s="1">
        <v>8.0696711187275891</v>
      </c>
      <c r="N36" s="1">
        <v>19.6758090969591</v>
      </c>
      <c r="O36" s="1">
        <v>704.27832994433595</v>
      </c>
      <c r="P36" s="3">
        <v>2.6</v>
      </c>
      <c r="Q36" s="1">
        <v>3.7406029354963501</v>
      </c>
      <c r="R36" s="11"/>
    </row>
    <row r="37" spans="2:18" x14ac:dyDescent="0.25">
      <c r="B37" s="1"/>
      <c r="C37" s="1"/>
      <c r="D37" s="1"/>
      <c r="E37" s="1"/>
      <c r="F37" s="1"/>
      <c r="G37" s="1"/>
      <c r="H37" s="1"/>
      <c r="I37" s="7"/>
      <c r="J37" s="2"/>
      <c r="K37" s="1"/>
      <c r="L37" s="6">
        <v>0</v>
      </c>
      <c r="M37" s="1">
        <v>11.2969269899697</v>
      </c>
      <c r="N37" s="1">
        <v>20.009009494853501</v>
      </c>
      <c r="O37" s="1">
        <v>854.47803956513997</v>
      </c>
      <c r="P37" s="3">
        <v>2.1</v>
      </c>
      <c r="Q37" s="1">
        <v>4.7276563555214803</v>
      </c>
      <c r="R37" s="11" t="s">
        <v>19</v>
      </c>
    </row>
    <row r="38" spans="2:18" x14ac:dyDescent="0.25">
      <c r="B38" s="1"/>
      <c r="C38" s="1"/>
      <c r="D38" s="1"/>
      <c r="E38" s="1"/>
      <c r="F38" s="1"/>
      <c r="G38" s="1"/>
      <c r="H38" s="1"/>
      <c r="I38" s="7"/>
      <c r="J38" s="2"/>
      <c r="K38" s="1"/>
      <c r="L38" s="1">
        <v>10</v>
      </c>
      <c r="M38" s="1">
        <v>10.4384978873885</v>
      </c>
      <c r="N38" s="1">
        <v>19.535897331911499</v>
      </c>
      <c r="O38" s="1">
        <v>782.98675581972805</v>
      </c>
      <c r="P38" s="3">
        <v>2.2000000000000002</v>
      </c>
      <c r="Q38" s="1">
        <v>4.5673398970604202</v>
      </c>
      <c r="R38" s="11"/>
    </row>
    <row r="39" spans="2:18" x14ac:dyDescent="0.25">
      <c r="L39" s="1">
        <v>20</v>
      </c>
      <c r="M39">
        <v>7.0633076698894603</v>
      </c>
      <c r="N39">
        <v>18.302222679173301</v>
      </c>
      <c r="O39">
        <v>716.42120651736002</v>
      </c>
      <c r="P39">
        <v>1.7</v>
      </c>
      <c r="Q39">
        <v>4.45488318616035</v>
      </c>
      <c r="R39" s="11"/>
    </row>
    <row r="40" spans="2:18" x14ac:dyDescent="0.25">
      <c r="L40" s="1">
        <v>40</v>
      </c>
      <c r="M40">
        <v>2.9533603023799402</v>
      </c>
      <c r="N40">
        <v>23.221850148998801</v>
      </c>
      <c r="O40">
        <v>662.73405185405704</v>
      </c>
      <c r="P40">
        <v>1.2</v>
      </c>
      <c r="Q40">
        <v>5.89317733823039</v>
      </c>
      <c r="R40" s="11"/>
    </row>
    <row r="41" spans="2:18" x14ac:dyDescent="0.25">
      <c r="L41" s="6">
        <v>0</v>
      </c>
      <c r="M41">
        <v>3.2046026173724398</v>
      </c>
      <c r="N41">
        <v>15.8270745268286</v>
      </c>
      <c r="O41">
        <v>757.38493859728101</v>
      </c>
      <c r="P41">
        <v>1.7</v>
      </c>
      <c r="Q41">
        <v>5.5479453913073504</v>
      </c>
      <c r="R41" s="11" t="s">
        <v>20</v>
      </c>
    </row>
    <row r="42" spans="2:18" x14ac:dyDescent="0.25">
      <c r="L42" s="1">
        <v>10</v>
      </c>
      <c r="M42">
        <v>2.4629427556796402</v>
      </c>
      <c r="N42">
        <v>15.2051530266708</v>
      </c>
      <c r="O42">
        <v>712.14230535651404</v>
      </c>
      <c r="P42">
        <v>1.1000000000000001</v>
      </c>
      <c r="Q42">
        <v>7.0647753701845097</v>
      </c>
      <c r="R42" s="11"/>
    </row>
    <row r="43" spans="2:18" x14ac:dyDescent="0.25">
      <c r="L43" s="1">
        <v>20</v>
      </c>
      <c r="M43">
        <v>2.42240644581394</v>
      </c>
      <c r="N43">
        <v>14.471283078260599</v>
      </c>
      <c r="O43">
        <v>692.80824350278601</v>
      </c>
      <c r="P43">
        <v>0.8</v>
      </c>
      <c r="Q43">
        <v>6.7296181355029603</v>
      </c>
      <c r="R43" s="11"/>
    </row>
    <row r="44" spans="2:18" x14ac:dyDescent="0.25">
      <c r="L44" s="1">
        <v>40</v>
      </c>
      <c r="M44">
        <v>3.0544907841246398</v>
      </c>
      <c r="N44">
        <v>20.846026889998001</v>
      </c>
      <c r="O44">
        <v>689.26766322903995</v>
      </c>
      <c r="P44">
        <v>1.2</v>
      </c>
      <c r="Q44">
        <v>7.5903659629670903</v>
      </c>
      <c r="R44" s="11"/>
    </row>
    <row r="45" spans="2:18" x14ac:dyDescent="0.25">
      <c r="L45" s="1">
        <v>60</v>
      </c>
      <c r="M45">
        <v>4.28772781830956</v>
      </c>
      <c r="N45">
        <v>19.697734092664799</v>
      </c>
      <c r="O45">
        <v>706.512538878192</v>
      </c>
      <c r="P45">
        <v>1.5</v>
      </c>
      <c r="Q45">
        <v>7.4557023911701803</v>
      </c>
      <c r="R45" s="11"/>
    </row>
    <row r="46" spans="2:18" x14ac:dyDescent="0.25">
      <c r="L46" s="1">
        <v>120</v>
      </c>
      <c r="M46">
        <v>7.0600075728625704</v>
      </c>
      <c r="N46">
        <v>20.008703280362798</v>
      </c>
      <c r="O46">
        <v>718.10362741116398</v>
      </c>
      <c r="P46">
        <v>2.1</v>
      </c>
      <c r="Q46">
        <v>6.8695249010103403</v>
      </c>
      <c r="R46" s="11"/>
    </row>
    <row r="47" spans="2:18" x14ac:dyDescent="0.25">
      <c r="L47" s="1">
        <v>180</v>
      </c>
      <c r="M47">
        <v>7.4691780080488597</v>
      </c>
      <c r="N47">
        <v>16.096967795203401</v>
      </c>
      <c r="O47">
        <v>704.23678361603595</v>
      </c>
      <c r="P47">
        <v>2.1</v>
      </c>
      <c r="Q47">
        <v>6.0423427115470103</v>
      </c>
      <c r="R47" s="11"/>
    </row>
    <row r="48" spans="2:18" x14ac:dyDescent="0.25">
      <c r="L48" s="6">
        <v>0</v>
      </c>
      <c r="M48">
        <v>13.341752048010299</v>
      </c>
      <c r="N48">
        <v>13.5228186829476</v>
      </c>
      <c r="O48">
        <v>812.999779560501</v>
      </c>
      <c r="P48">
        <v>2</v>
      </c>
      <c r="Q48">
        <v>4.4007663243441</v>
      </c>
      <c r="R48" s="11" t="s">
        <v>21</v>
      </c>
    </row>
    <row r="49" spans="12:18" x14ac:dyDescent="0.25">
      <c r="L49" s="1">
        <v>10</v>
      </c>
      <c r="M49">
        <v>9.0943042874270095</v>
      </c>
      <c r="N49">
        <v>15.1909859693444</v>
      </c>
      <c r="O49">
        <v>765.12080906089204</v>
      </c>
      <c r="P49">
        <v>2</v>
      </c>
      <c r="Q49">
        <v>4.8442160942011601</v>
      </c>
      <c r="R49" s="11"/>
    </row>
    <row r="50" spans="12:18" x14ac:dyDescent="0.25">
      <c r="L50" s="1">
        <v>20</v>
      </c>
      <c r="M50">
        <v>5.7862824794802901</v>
      </c>
      <c r="N50">
        <v>15.0075961451917</v>
      </c>
      <c r="O50">
        <v>682.96502408595904</v>
      </c>
      <c r="P50">
        <v>1.9</v>
      </c>
      <c r="Q50">
        <v>4.79315434534346</v>
      </c>
      <c r="R50" s="11"/>
    </row>
    <row r="51" spans="12:18" x14ac:dyDescent="0.25">
      <c r="L51" s="1">
        <v>40</v>
      </c>
      <c r="M51">
        <v>4.1234752375052501</v>
      </c>
      <c r="N51">
        <v>16.7901179466744</v>
      </c>
      <c r="O51">
        <v>627.60976165947295</v>
      </c>
      <c r="P51">
        <v>1.1000000000000001</v>
      </c>
      <c r="Q51">
        <v>6.4316956923936504</v>
      </c>
      <c r="R51" s="11"/>
    </row>
  </sheetData>
  <mergeCells count="8">
    <mergeCell ref="R48:R51"/>
    <mergeCell ref="R3:R9"/>
    <mergeCell ref="R10:R13"/>
    <mergeCell ref="R14:R20"/>
    <mergeCell ref="R21:R24"/>
    <mergeCell ref="R30:R36"/>
    <mergeCell ref="R37:R40"/>
    <mergeCell ref="R41:R4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93B8-050E-42DF-8BF8-AC89F633A289}">
  <dimension ref="A1:T27"/>
  <sheetViews>
    <sheetView tabSelected="1" workbookViewId="0">
      <selection activeCell="B2" sqref="B2:P27"/>
    </sheetView>
  </sheetViews>
  <sheetFormatPr defaultRowHeight="15" x14ac:dyDescent="0.25"/>
  <cols>
    <col min="1" max="1" width="6.42578125" bestFit="1" customWidth="1"/>
    <col min="2" max="2" width="7.140625" bestFit="1" customWidth="1"/>
    <col min="3" max="3" width="16.7109375" bestFit="1" customWidth="1"/>
    <col min="4" max="4" width="5" bestFit="1" customWidth="1"/>
    <col min="5" max="8" width="4.42578125" bestFit="1" customWidth="1"/>
    <col min="9" max="9" width="7.140625" bestFit="1" customWidth="1"/>
    <col min="10" max="10" width="10.28515625" bestFit="1" customWidth="1"/>
    <col min="11" max="11" width="10.42578125" bestFit="1" customWidth="1"/>
    <col min="13" max="13" width="6.85546875" bestFit="1" customWidth="1"/>
    <col min="15" max="15" width="9.85546875" bestFit="1" customWidth="1"/>
    <col min="16" max="16" width="7.7109375" bestFit="1" customWidth="1"/>
    <col min="17" max="17" width="21" bestFit="1" customWidth="1"/>
    <col min="18" max="18" width="7.5703125" bestFit="1" customWidth="1"/>
  </cols>
  <sheetData>
    <row r="1" spans="1:2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/>
    </row>
    <row r="2" spans="1:20" x14ac:dyDescent="0.25">
      <c r="A2" s="1" t="s">
        <v>12</v>
      </c>
      <c r="B2" s="7">
        <v>37.08</v>
      </c>
      <c r="C2" s="1">
        <v>46.082900000000002</v>
      </c>
      <c r="D2" s="1">
        <v>1000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2">
        <v>771.9</v>
      </c>
      <c r="K2" s="1">
        <v>764</v>
      </c>
      <c r="L2" s="1">
        <v>0</v>
      </c>
      <c r="M2" s="1">
        <v>0</v>
      </c>
      <c r="N2" s="1">
        <v>22</v>
      </c>
      <c r="O2" s="1">
        <v>8.9</v>
      </c>
      <c r="P2" s="1">
        <v>4.4000000000000004</v>
      </c>
      <c r="Q2" s="1">
        <v>0</v>
      </c>
      <c r="R2" s="1" t="s">
        <v>12</v>
      </c>
    </row>
    <row r="3" spans="1:20" x14ac:dyDescent="0.25">
      <c r="B3">
        <v>33.729999999999997</v>
      </c>
      <c r="C3" s="1">
        <v>46.082900000000002</v>
      </c>
      <c r="D3" s="1">
        <v>1000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>
        <f>T3*100</f>
        <v>713</v>
      </c>
      <c r="K3" s="1">
        <v>731.4</v>
      </c>
      <c r="L3" s="1">
        <v>0</v>
      </c>
      <c r="M3" s="1">
        <v>0</v>
      </c>
      <c r="N3" s="1">
        <v>406</v>
      </c>
      <c r="O3" s="1">
        <v>8.1999999999999993</v>
      </c>
      <c r="P3" s="3">
        <v>3.2</v>
      </c>
      <c r="R3" s="11" t="s">
        <v>23</v>
      </c>
      <c r="T3">
        <v>7.13</v>
      </c>
    </row>
    <row r="4" spans="1:20" x14ac:dyDescent="0.25">
      <c r="B4">
        <v>34.4</v>
      </c>
      <c r="C4" s="1">
        <v>46.082900000000002</v>
      </c>
      <c r="D4" s="1">
        <v>1000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>
        <f t="shared" ref="J4:J27" si="0">T4*100</f>
        <v>713.1</v>
      </c>
      <c r="K4" s="1">
        <v>757.8</v>
      </c>
      <c r="L4" s="1">
        <v>0</v>
      </c>
      <c r="M4" s="1">
        <v>0</v>
      </c>
      <c r="N4" s="1">
        <v>510</v>
      </c>
      <c r="O4" s="1">
        <v>8.16</v>
      </c>
      <c r="P4" s="3">
        <v>3</v>
      </c>
      <c r="R4" s="11"/>
      <c r="T4">
        <v>7.1310000000000002</v>
      </c>
    </row>
    <row r="5" spans="1:20" x14ac:dyDescent="0.25">
      <c r="B5">
        <v>34.700000000000003</v>
      </c>
      <c r="C5" s="1">
        <v>46.082900000000002</v>
      </c>
      <c r="D5" s="1">
        <v>1000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>
        <f t="shared" si="0"/>
        <v>720.30000000000007</v>
      </c>
      <c r="K5" s="1">
        <v>764.7</v>
      </c>
      <c r="L5" s="1">
        <v>0</v>
      </c>
      <c r="M5" s="1">
        <v>0</v>
      </c>
      <c r="N5" s="1">
        <v>596</v>
      </c>
      <c r="O5" s="1">
        <v>8.0399999999999991</v>
      </c>
      <c r="P5" s="3">
        <v>2.8</v>
      </c>
      <c r="R5" s="11"/>
      <c r="T5">
        <v>7.2030000000000003</v>
      </c>
    </row>
    <row r="6" spans="1:20" x14ac:dyDescent="0.25">
      <c r="B6">
        <v>35.68</v>
      </c>
      <c r="C6" s="1">
        <v>46.082900000000002</v>
      </c>
      <c r="D6" s="1">
        <v>1000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>
        <f t="shared" si="0"/>
        <v>738.6</v>
      </c>
      <c r="K6" s="1">
        <v>734.8</v>
      </c>
      <c r="L6" s="1">
        <v>0</v>
      </c>
      <c r="M6" s="1">
        <v>0</v>
      </c>
      <c r="N6" s="1">
        <v>551</v>
      </c>
      <c r="O6" s="1">
        <v>8.2799999999999994</v>
      </c>
      <c r="P6" s="3">
        <v>3.2</v>
      </c>
      <c r="R6" s="11"/>
      <c r="T6">
        <v>7.3860000000000001</v>
      </c>
    </row>
    <row r="7" spans="1:20" x14ac:dyDescent="0.25">
      <c r="B7">
        <v>35.72</v>
      </c>
      <c r="C7" s="1">
        <v>46.082900000000002</v>
      </c>
      <c r="D7" s="1">
        <v>1000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>
        <f t="shared" si="0"/>
        <v>739.9</v>
      </c>
      <c r="K7" s="1">
        <v>747.6</v>
      </c>
      <c r="L7" s="1">
        <v>0</v>
      </c>
      <c r="M7" s="1">
        <v>0</v>
      </c>
      <c r="N7" s="1">
        <v>420</v>
      </c>
      <c r="O7" s="1">
        <v>8.36</v>
      </c>
      <c r="P7" s="3">
        <v>2.4</v>
      </c>
      <c r="R7" s="11"/>
      <c r="T7">
        <v>7.399</v>
      </c>
    </row>
    <row r="8" spans="1:20" x14ac:dyDescent="0.25">
      <c r="B8">
        <v>36.29</v>
      </c>
      <c r="C8" s="1">
        <v>46.082900000000002</v>
      </c>
      <c r="D8" s="1">
        <v>1000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>
        <f t="shared" si="0"/>
        <v>737.1</v>
      </c>
      <c r="K8" s="1">
        <v>728.6</v>
      </c>
      <c r="L8" s="1">
        <v>0</v>
      </c>
      <c r="M8" s="1">
        <v>0</v>
      </c>
      <c r="N8" s="1">
        <v>376</v>
      </c>
      <c r="O8" s="1">
        <v>8.36</v>
      </c>
      <c r="P8" s="3">
        <v>2.7</v>
      </c>
      <c r="R8" s="11"/>
      <c r="T8">
        <v>7.3710000000000004</v>
      </c>
    </row>
    <row r="9" spans="1:20" x14ac:dyDescent="0.25">
      <c r="B9">
        <v>36.31</v>
      </c>
      <c r="C9" s="1">
        <v>46.082900000000002</v>
      </c>
      <c r="D9" s="1">
        <v>1000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>
        <f t="shared" si="0"/>
        <v>739.2</v>
      </c>
      <c r="K9" s="1">
        <v>665</v>
      </c>
      <c r="L9" s="1">
        <v>0</v>
      </c>
      <c r="M9" s="1">
        <v>0</v>
      </c>
      <c r="N9" s="1">
        <v>362</v>
      </c>
      <c r="O9" s="1">
        <v>8.4</v>
      </c>
      <c r="P9" s="3">
        <v>2.5</v>
      </c>
      <c r="R9" s="11"/>
      <c r="T9">
        <v>7.3920000000000003</v>
      </c>
    </row>
    <row r="10" spans="1:20" x14ac:dyDescent="0.25">
      <c r="B10">
        <v>33.090000000000003</v>
      </c>
      <c r="C10" s="1">
        <v>46.082900000000002</v>
      </c>
      <c r="D10" s="1">
        <v>1000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>
        <f t="shared" si="0"/>
        <v>708.19999999999993</v>
      </c>
      <c r="K10" s="1">
        <v>759.3</v>
      </c>
      <c r="L10" s="1">
        <v>0</v>
      </c>
      <c r="M10" s="1">
        <v>0</v>
      </c>
      <c r="N10" s="1">
        <v>928</v>
      </c>
      <c r="O10" s="1">
        <v>7.7</v>
      </c>
      <c r="P10" s="3">
        <v>1.7</v>
      </c>
      <c r="R10" s="11" t="s">
        <v>22</v>
      </c>
      <c r="T10">
        <v>7.0819999999999999</v>
      </c>
    </row>
    <row r="11" spans="1:20" x14ac:dyDescent="0.25">
      <c r="B11">
        <v>34.229999999999997</v>
      </c>
      <c r="C11" s="1">
        <v>46.082900000000002</v>
      </c>
      <c r="D11" s="1">
        <v>1000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>
        <f t="shared" si="0"/>
        <v>710.8</v>
      </c>
      <c r="K11" s="5">
        <v>755.5</v>
      </c>
      <c r="L11" s="1">
        <v>0</v>
      </c>
      <c r="M11" s="1">
        <v>0</v>
      </c>
      <c r="N11" s="5">
        <v>899</v>
      </c>
      <c r="O11" s="5">
        <v>7.8</v>
      </c>
      <c r="P11" s="10">
        <v>2.1</v>
      </c>
      <c r="R11" s="11"/>
      <c r="T11">
        <v>7.1079999999999997</v>
      </c>
    </row>
    <row r="12" spans="1:20" x14ac:dyDescent="0.25">
      <c r="B12">
        <v>32.25</v>
      </c>
      <c r="C12" s="1">
        <v>46.082900000000002</v>
      </c>
      <c r="D12" s="1">
        <v>1000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>
        <f t="shared" si="0"/>
        <v>691.69999999999993</v>
      </c>
      <c r="K12" s="5">
        <v>753.7</v>
      </c>
      <c r="L12" s="1">
        <v>0</v>
      </c>
      <c r="M12" s="1">
        <v>0</v>
      </c>
      <c r="N12" s="1">
        <v>915</v>
      </c>
      <c r="O12" s="1">
        <v>7.74</v>
      </c>
      <c r="P12" s="3">
        <v>1.9</v>
      </c>
      <c r="R12" s="11"/>
      <c r="T12">
        <v>6.9169999999999998</v>
      </c>
    </row>
    <row r="13" spans="1:20" x14ac:dyDescent="0.25">
      <c r="B13">
        <v>29.35</v>
      </c>
      <c r="C13" s="1">
        <v>46.082900000000002</v>
      </c>
      <c r="D13" s="1">
        <v>1000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>
        <f t="shared" si="0"/>
        <v>678.59999999999991</v>
      </c>
      <c r="K13" s="1">
        <v>764.9</v>
      </c>
      <c r="L13" s="1">
        <v>0</v>
      </c>
      <c r="M13" s="1">
        <v>0</v>
      </c>
      <c r="N13" s="1">
        <v>923</v>
      </c>
      <c r="O13" s="1">
        <v>7.74</v>
      </c>
      <c r="P13" s="3">
        <v>2.1</v>
      </c>
      <c r="R13" s="11"/>
      <c r="T13">
        <v>6.7859999999999996</v>
      </c>
    </row>
    <row r="14" spans="1:20" x14ac:dyDescent="0.25">
      <c r="B14">
        <v>31.25</v>
      </c>
      <c r="C14" s="1">
        <v>46.082900000000002</v>
      </c>
      <c r="D14" s="1">
        <v>1000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>
        <f t="shared" si="0"/>
        <v>677.8</v>
      </c>
      <c r="K14" s="1">
        <v>730.5</v>
      </c>
      <c r="L14" s="1">
        <v>0</v>
      </c>
      <c r="M14" s="1">
        <v>0</v>
      </c>
      <c r="N14" s="1">
        <v>663</v>
      </c>
      <c r="O14" s="1">
        <v>7.78</v>
      </c>
      <c r="P14" s="3" t="s">
        <v>24</v>
      </c>
      <c r="R14" s="11"/>
      <c r="T14">
        <v>6.7779999999999996</v>
      </c>
    </row>
    <row r="15" spans="1:20" x14ac:dyDescent="0.25">
      <c r="B15">
        <v>31.84</v>
      </c>
      <c r="C15" s="1">
        <v>46.082900000000002</v>
      </c>
      <c r="D15" s="1">
        <v>1000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>
        <f t="shared" si="0"/>
        <v>697</v>
      </c>
      <c r="K15" s="1">
        <v>689.3</v>
      </c>
      <c r="L15" s="1">
        <v>0</v>
      </c>
      <c r="M15" s="1">
        <v>0</v>
      </c>
      <c r="N15" s="1">
        <v>523</v>
      </c>
      <c r="O15" s="1">
        <v>7.84</v>
      </c>
      <c r="P15" s="3" t="s">
        <v>25</v>
      </c>
      <c r="R15" s="11"/>
      <c r="T15">
        <v>6.97</v>
      </c>
    </row>
    <row r="16" spans="1:20" x14ac:dyDescent="0.25">
      <c r="B16">
        <v>33.29</v>
      </c>
      <c r="C16" s="1">
        <v>46.082900000000002</v>
      </c>
      <c r="D16" s="1">
        <v>1000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>
        <f t="shared" si="0"/>
        <v>700</v>
      </c>
      <c r="K16" s="1">
        <v>688.4</v>
      </c>
      <c r="L16" s="1">
        <v>0</v>
      </c>
      <c r="M16" s="1">
        <v>0</v>
      </c>
      <c r="N16" s="1">
        <v>442</v>
      </c>
      <c r="O16" s="1">
        <v>7.84</v>
      </c>
      <c r="P16" s="3">
        <v>2.4</v>
      </c>
      <c r="R16" s="11"/>
      <c r="T16">
        <v>7</v>
      </c>
    </row>
    <row r="17" spans="2:20" x14ac:dyDescent="0.25">
      <c r="B17">
        <v>28.4</v>
      </c>
      <c r="C17" s="1">
        <v>46.082900000000002</v>
      </c>
      <c r="D17" s="1">
        <v>1000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>
        <f t="shared" si="0"/>
        <v>643</v>
      </c>
      <c r="K17" s="1">
        <v>526.9</v>
      </c>
      <c r="L17" s="1">
        <v>0</v>
      </c>
      <c r="M17" s="1">
        <v>0</v>
      </c>
      <c r="N17" s="1">
        <v>804</v>
      </c>
      <c r="O17" s="1">
        <v>7.52</v>
      </c>
      <c r="P17" s="3">
        <v>1.7</v>
      </c>
      <c r="R17" s="11" t="s">
        <v>13</v>
      </c>
      <c r="T17">
        <v>6.43</v>
      </c>
    </row>
    <row r="18" spans="2:20" x14ac:dyDescent="0.25">
      <c r="B18">
        <v>29.37</v>
      </c>
      <c r="C18" s="1">
        <v>46.082900000000002</v>
      </c>
      <c r="D18" s="1">
        <v>1000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>
        <f t="shared" si="0"/>
        <v>669.3</v>
      </c>
      <c r="K18" s="1">
        <v>698.4</v>
      </c>
      <c r="L18" s="1">
        <v>0</v>
      </c>
      <c r="M18" s="1">
        <v>0</v>
      </c>
      <c r="N18" s="1">
        <v>804</v>
      </c>
      <c r="O18" s="1">
        <v>7.36</v>
      </c>
      <c r="P18" s="3">
        <v>1.1000000000000001</v>
      </c>
      <c r="R18" s="11"/>
      <c r="T18">
        <v>6.6929999999999996</v>
      </c>
    </row>
    <row r="19" spans="2:20" x14ac:dyDescent="0.25">
      <c r="B19">
        <v>30.93</v>
      </c>
      <c r="C19" s="1">
        <v>46.082900000000002</v>
      </c>
      <c r="D19" s="1">
        <v>1000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>
        <f t="shared" si="0"/>
        <v>680.5</v>
      </c>
      <c r="K19" s="1">
        <v>676.4</v>
      </c>
      <c r="L19" s="1">
        <v>0</v>
      </c>
      <c r="M19" s="1">
        <v>0</v>
      </c>
      <c r="N19" s="1">
        <v>778</v>
      </c>
      <c r="O19" s="1">
        <v>7.28</v>
      </c>
      <c r="P19" s="3">
        <v>0.8</v>
      </c>
      <c r="R19" s="11"/>
      <c r="T19">
        <v>6.8049999999999997</v>
      </c>
    </row>
    <row r="20" spans="2:20" x14ac:dyDescent="0.25">
      <c r="B20">
        <v>30.43</v>
      </c>
      <c r="C20" s="1">
        <v>46.082900000000002</v>
      </c>
      <c r="D20" s="1">
        <v>1000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>
        <f t="shared" si="0"/>
        <v>674.6</v>
      </c>
      <c r="K20" s="5">
        <v>756.3</v>
      </c>
      <c r="L20" s="1">
        <v>0</v>
      </c>
      <c r="M20" s="1">
        <v>0</v>
      </c>
      <c r="N20" s="1">
        <v>1111</v>
      </c>
      <c r="O20" s="1">
        <v>7.18</v>
      </c>
      <c r="P20" s="3">
        <v>1.2</v>
      </c>
      <c r="R20" s="11"/>
      <c r="T20">
        <v>6.7460000000000004</v>
      </c>
    </row>
    <row r="21" spans="2:20" x14ac:dyDescent="0.25">
      <c r="B21">
        <v>31.56</v>
      </c>
      <c r="C21" s="1">
        <v>46.082900000000002</v>
      </c>
      <c r="D21" s="1">
        <v>1000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>
        <f t="shared" si="0"/>
        <v>672.8</v>
      </c>
      <c r="K21" s="1">
        <v>740.9</v>
      </c>
      <c r="L21" s="1">
        <v>0</v>
      </c>
      <c r="M21" s="1">
        <v>0</v>
      </c>
      <c r="N21" s="1">
        <v>1047</v>
      </c>
      <c r="O21" s="1">
        <v>7.34</v>
      </c>
      <c r="P21" s="3">
        <v>1.5</v>
      </c>
      <c r="R21" s="11"/>
      <c r="T21">
        <v>6.7279999999999998</v>
      </c>
    </row>
    <row r="22" spans="2:20" x14ac:dyDescent="0.25">
      <c r="B22">
        <v>28.27</v>
      </c>
      <c r="C22" s="1">
        <v>46.082900000000002</v>
      </c>
      <c r="D22" s="1">
        <v>1000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>
        <f t="shared" si="0"/>
        <v>642.1</v>
      </c>
      <c r="K22" s="1">
        <v>651.5</v>
      </c>
      <c r="L22" s="1">
        <v>0</v>
      </c>
      <c r="M22" s="1">
        <v>0</v>
      </c>
      <c r="N22" s="1">
        <v>1015</v>
      </c>
      <c r="O22" s="1">
        <v>7.12</v>
      </c>
      <c r="P22" s="3">
        <v>2.1</v>
      </c>
      <c r="R22" s="11"/>
      <c r="T22">
        <v>6.4210000000000003</v>
      </c>
    </row>
    <row r="23" spans="2:20" x14ac:dyDescent="0.25">
      <c r="B23">
        <v>29.27</v>
      </c>
      <c r="C23" s="1">
        <v>46.082900000000002</v>
      </c>
      <c r="D23" s="1">
        <v>1000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>
        <f t="shared" si="0"/>
        <v>662.1</v>
      </c>
      <c r="K23" s="1">
        <v>590.9</v>
      </c>
      <c r="L23" s="1">
        <v>0</v>
      </c>
      <c r="M23" s="1">
        <v>0</v>
      </c>
      <c r="N23" s="1">
        <v>842</v>
      </c>
      <c r="O23" s="1">
        <v>7.2</v>
      </c>
      <c r="P23" s="3">
        <v>2.1</v>
      </c>
      <c r="R23" s="11"/>
      <c r="T23">
        <v>6.6210000000000004</v>
      </c>
    </row>
    <row r="24" spans="2:20" x14ac:dyDescent="0.25">
      <c r="B24">
        <v>20.76</v>
      </c>
      <c r="C24" s="1">
        <v>46.082900000000002</v>
      </c>
      <c r="D24" s="1">
        <v>1000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>
        <f t="shared" si="0"/>
        <v>556</v>
      </c>
      <c r="K24" s="3">
        <v>361.4</v>
      </c>
      <c r="L24" s="1">
        <v>0</v>
      </c>
      <c r="M24" s="1">
        <v>0</v>
      </c>
      <c r="N24" s="1">
        <v>594</v>
      </c>
      <c r="O24" s="1">
        <v>6.98</v>
      </c>
      <c r="P24" s="3">
        <v>2</v>
      </c>
      <c r="R24" s="11" t="s">
        <v>19</v>
      </c>
      <c r="T24">
        <v>5.56</v>
      </c>
    </row>
    <row r="25" spans="2:20" x14ac:dyDescent="0.25">
      <c r="B25">
        <v>24.33</v>
      </c>
      <c r="C25" s="1">
        <v>46.082900000000002</v>
      </c>
      <c r="D25" s="1">
        <v>1000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>
        <f t="shared" si="0"/>
        <v>589.1</v>
      </c>
      <c r="K25" s="3">
        <v>421.5</v>
      </c>
      <c r="L25" s="1">
        <v>0</v>
      </c>
      <c r="M25" s="1">
        <v>0</v>
      </c>
      <c r="N25" s="1">
        <v>707</v>
      </c>
      <c r="O25" s="1">
        <v>6.96</v>
      </c>
      <c r="P25" s="3">
        <v>2</v>
      </c>
      <c r="R25" s="11"/>
      <c r="T25">
        <v>5.891</v>
      </c>
    </row>
    <row r="26" spans="2:20" x14ac:dyDescent="0.25">
      <c r="B26">
        <v>26.78</v>
      </c>
      <c r="C26" s="1">
        <v>46.082900000000002</v>
      </c>
      <c r="D26" s="1">
        <v>1000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>
        <f t="shared" si="0"/>
        <v>641</v>
      </c>
      <c r="K26" s="3">
        <v>453.8</v>
      </c>
      <c r="L26" s="1">
        <v>0</v>
      </c>
      <c r="M26" s="1">
        <v>0</v>
      </c>
      <c r="N26" s="1">
        <v>760</v>
      </c>
      <c r="O26" s="1">
        <v>6.76</v>
      </c>
      <c r="P26" s="3">
        <v>1.9</v>
      </c>
      <c r="R26" s="11"/>
      <c r="T26">
        <v>6.41</v>
      </c>
    </row>
    <row r="27" spans="2:20" x14ac:dyDescent="0.25">
      <c r="B27">
        <v>31.26</v>
      </c>
      <c r="C27" s="1">
        <v>46.082900000000002</v>
      </c>
      <c r="D27" s="1">
        <v>1000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>
        <f t="shared" si="0"/>
        <v>699.6</v>
      </c>
      <c r="K27" s="3">
        <v>664.6</v>
      </c>
      <c r="L27" s="1">
        <v>0</v>
      </c>
      <c r="M27" s="1">
        <v>0</v>
      </c>
      <c r="N27" s="1">
        <v>928</v>
      </c>
      <c r="O27" s="1">
        <v>6.78</v>
      </c>
      <c r="P27" s="3">
        <v>1.1000000000000001</v>
      </c>
      <c r="R27" s="11"/>
      <c r="T27">
        <v>6.9960000000000004</v>
      </c>
    </row>
  </sheetData>
  <mergeCells count="4">
    <mergeCell ref="R3:R9"/>
    <mergeCell ref="R10:R16"/>
    <mergeCell ref="R17:R23"/>
    <mergeCell ref="R24:R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OA 10-70%</vt:lpstr>
      <vt:lpstr>OA&amp;OB 50-70%</vt:lpstr>
      <vt:lpstr>OB 10-70%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Zhao</dc:creator>
  <cp:lastModifiedBy>Chris Zhao</cp:lastModifiedBy>
  <dcterms:created xsi:type="dcterms:W3CDTF">2024-03-12T00:16:09Z</dcterms:created>
  <dcterms:modified xsi:type="dcterms:W3CDTF">2024-03-13T06:13:48Z</dcterms:modified>
</cp:coreProperties>
</file>